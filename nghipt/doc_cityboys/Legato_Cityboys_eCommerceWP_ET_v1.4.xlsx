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codeName="ThisWorkbook" checkCompatibility="1" autoCompressPictures="0"/>
  <bookViews>
    <workbookView xWindow="0" yWindow="0" windowWidth="20520" windowHeight="8085" activeTab="1"/>
  </bookViews>
  <sheets>
    <sheet name="Functions" sheetId="1" r:id="rId1"/>
    <sheet name="Estimate" sheetId="2" r:id="rId2"/>
    <sheet name="Assumption" sheetId="3" r:id="rId3"/>
    <sheet name="Sheet1" sheetId="4" r:id="rId4"/>
    <sheet name="Sheet2" sheetId="5" r:id="rId5"/>
  </sheets>
  <definedNames>
    <definedName name="_xlnm.Print_Area" localSheetId="1">Estimate!$A$1:$F$70</definedName>
    <definedName name="_xlnm.Print_Area" localSheetId="0">Functions!$A$1:$D$59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2" i="5"/>
  <c r="C15"/>
  <c r="C65"/>
  <c r="C70"/>
  <c r="D12" i="4"/>
  <c r="D15"/>
  <c r="D65"/>
  <c r="D70"/>
  <c r="C12"/>
  <c r="C15"/>
  <c r="C65"/>
  <c r="C70"/>
  <c r="C12" i="2"/>
  <c r="C15"/>
  <c r="C70"/>
  <c r="C65"/>
</calcChain>
</file>

<file path=xl/sharedStrings.xml><?xml version="1.0" encoding="utf-8"?>
<sst xmlns="http://schemas.openxmlformats.org/spreadsheetml/2006/main" count="469" uniqueCount="133">
  <si>
    <t>12A Ladeco Building, 266 Doi Can</t>
  </si>
  <si>
    <t>Hanoi, Vietnam</t>
  </si>
  <si>
    <t>http//www.smartosc.com</t>
  </si>
  <si>
    <t>FUNCTIONALITIES SCOPE</t>
  </si>
  <si>
    <t>Page</t>
  </si>
  <si>
    <t>Functions</t>
  </si>
  <si>
    <t>Included</t>
  </si>
  <si>
    <t>Description</t>
  </si>
  <si>
    <t>Homepage &amp; Global Element</t>
  </si>
  <si>
    <t>Global Header</t>
  </si>
  <si>
    <t>Y</t>
  </si>
  <si>
    <t>Main Navigation</t>
  </si>
  <si>
    <t>Global Footer</t>
  </si>
  <si>
    <t>Home Page</t>
  </si>
  <si>
    <t>Product Category Page</t>
  </si>
  <si>
    <t>Category Heading Section</t>
  </si>
  <si>
    <t>Number of Results</t>
  </si>
  <si>
    <t>Pagination</t>
  </si>
  <si>
    <t>Product Listing</t>
  </si>
  <si>
    <t>Extra blocks</t>
  </si>
  <si>
    <t>News Listing Page</t>
  </si>
  <si>
    <t>Multi-level listing page</t>
  </si>
  <si>
    <t>4 types of news listing page</t>
  </si>
  <si>
    <t>Product Page</t>
  </si>
  <si>
    <t>Product Name</t>
  </si>
  <si>
    <t>Product Style Code</t>
  </si>
  <si>
    <t>Product Availability</t>
  </si>
  <si>
    <t>Product Price</t>
  </si>
  <si>
    <t>Product Image</t>
  </si>
  <si>
    <t>Alternate Images</t>
  </si>
  <si>
    <t>Product Description</t>
  </si>
  <si>
    <t>Quantity</t>
  </si>
  <si>
    <t>Add To Cart</t>
  </si>
  <si>
    <t>Zoom function</t>
  </si>
  <si>
    <t>News Detail</t>
  </si>
  <si>
    <t>Content</t>
  </si>
  <si>
    <t>Cart</t>
  </si>
  <si>
    <t>Cart Page</t>
  </si>
  <si>
    <t>Checkout</t>
  </si>
  <si>
    <t>Heading &amp; Description</t>
  </si>
  <si>
    <t>Billing Address</t>
  </si>
  <si>
    <t>Shipping Method</t>
  </si>
  <si>
    <t>Payment Method</t>
  </si>
  <si>
    <t>Support Paypal and Alipay</t>
  </si>
  <si>
    <t>Review Your Order</t>
  </si>
  <si>
    <t>Place Order</t>
  </si>
  <si>
    <t>Confirmation Screen</t>
  </si>
  <si>
    <t>Other Functions</t>
  </si>
  <si>
    <t>eCommerce plugin</t>
  </si>
  <si>
    <t>Multi-language</t>
  </si>
  <si>
    <t>Menu management</t>
  </si>
  <si>
    <t>Signup/Login</t>
  </si>
  <si>
    <t>My Account Dashboard</t>
  </si>
  <si>
    <t>Static pages</t>
  </si>
  <si>
    <t>Search &amp; Search Results</t>
  </si>
  <si>
    <t>Export member profiles</t>
  </si>
  <si>
    <t>Statistics data</t>
  </si>
  <si>
    <t>PROJECT SCOPE</t>
  </si>
  <si>
    <t>Component</t>
  </si>
  <si>
    <t>Specification</t>
  </si>
  <si>
    <t>Start date</t>
  </si>
  <si>
    <t>End date</t>
  </si>
  <si>
    <t xml:space="preserve">Preparation </t>
  </si>
  <si>
    <t>Setup Development Environment</t>
  </si>
  <si>
    <t>Setup Test Environment</t>
  </si>
  <si>
    <t>Development</t>
  </si>
  <si>
    <t>Test</t>
  </si>
  <si>
    <t>Test Checklist</t>
  </si>
  <si>
    <t>Integration Test</t>
  </si>
  <si>
    <t>UAT &amp; update</t>
  </si>
  <si>
    <t>Project Management</t>
  </si>
  <si>
    <t>Total</t>
  </si>
  <si>
    <t xml:space="preserve">Resource Assumptions  </t>
  </si>
  <si>
    <t xml:space="preserve">• Project staff resources will be available when and as they are needed. </t>
  </si>
  <si>
    <t xml:space="preserve">• Required hardware resources will be available when and as they are needed. </t>
  </si>
  <si>
    <t xml:space="preserve">• Required customer resources will be available when and as they are needed. </t>
  </si>
  <si>
    <t xml:space="preserve">• A "full-time" resource implies at least 36 hours productive work per week. </t>
  </si>
  <si>
    <t xml:space="preserve">Delivery Assumptions  </t>
  </si>
  <si>
    <t xml:space="preserve">• Deliverables will be subject to no more than a specific number of review cycles. </t>
  </si>
  <si>
    <t xml:space="preserve">• Equipment order lead times are known and can be expected to be met. </t>
  </si>
  <si>
    <t xml:space="preserve">Environmental Assumptions  </t>
  </si>
  <si>
    <t xml:space="preserve">• Issues will be resolved in a timely manner. </t>
  </si>
  <si>
    <t xml:space="preserve">• The project organization described in the project plan will be put in place. </t>
  </si>
  <si>
    <t xml:space="preserve">• Systems components will be capable of being integrated with minimum rework. </t>
  </si>
  <si>
    <t xml:space="preserve">Functionality Assumptions  </t>
  </si>
  <si>
    <t xml:space="preserve">• The scope of the project is limited to that described in the project scope. </t>
  </si>
  <si>
    <t xml:space="preserve">• Formal scope change procedures will be followed. </t>
  </si>
  <si>
    <t>• This estimation does not contain the design</t>
  </si>
  <si>
    <t>• The scope of the project does not contain the data inputing</t>
  </si>
  <si>
    <t>ID</t>
  </si>
  <si>
    <t>Assumptions</t>
  </si>
  <si>
    <t>FA-01</t>
  </si>
  <si>
    <t>Extensions features will be confirmed and base on the agreement between Customer  and SmartOSC</t>
  </si>
  <si>
    <t>FA-02</t>
  </si>
  <si>
    <t>Testing will be applied for all the features that been described in the Detail plan only.</t>
  </si>
  <si>
    <t>FA-03</t>
  </si>
  <si>
    <t>The site will be mobile friendly</t>
  </si>
  <si>
    <t>FA-04</t>
  </si>
  <si>
    <t>List of supported browsers:</t>
  </si>
  <si>
    <t>Windows 7  (With up to date OS patches)</t>
  </si>
  <si>
    <t>Mac OS 10.6 (Snow Leopard) or 10.7 (Lion)</t>
  </si>
  <si>
    <t>Chrome latest</t>
  </si>
  <si>
    <t>Full</t>
  </si>
  <si>
    <t>Chrome 2nd latest</t>
  </si>
  <si>
    <t>Partial</t>
  </si>
  <si>
    <t>FireFox latest</t>
  </si>
  <si>
    <t>FireFox 2nd latest</t>
  </si>
  <si>
    <t>Safari latest</t>
  </si>
  <si>
    <t>N/A</t>
  </si>
  <si>
    <t>Safari 2nd latest</t>
  </si>
  <si>
    <t>IE 9</t>
  </si>
  <si>
    <t>IE 10</t>
  </si>
  <si>
    <t>Homepage Content</t>
  </si>
  <si>
    <t>Homepage Banner/Advertisement (slider)</t>
  </si>
  <si>
    <t>Category/Brand filter</t>
  </si>
  <si>
    <t>Hours</t>
  </si>
  <si>
    <t>Legato - Cityboys - eCommerce WordPress</t>
  </si>
  <si>
    <t>(+844) 3514 9883</t>
  </si>
  <si>
    <t>www.smartosc.com</t>
  </si>
  <si>
    <t>Website</t>
  </si>
  <si>
    <t>Phone</t>
  </si>
  <si>
    <t>Address</t>
  </si>
  <si>
    <t>Co chinh sua nhieu khong? Hay chi dung quan ly mac dinh cua wordpress</t>
  </si>
  <si>
    <t>Gom nhung trang nhu the nao va mo ta yeu cau cac trang do</t>
  </si>
  <si>
    <t>Chi modify va them cac dieu search vao, khong tich hop cac tool search khac nhu Sphinx search</t>
  </si>
  <si>
    <t>Chi Export to Excel and pdf?</t>
  </si>
  <si>
    <t>Cac chi so muon thong ke vao mo ta giao dien hien thi cho cac chi so thong ke do</t>
  </si>
  <si>
    <t>you should use wooCommerce, Because it support plugin payment Alipay and it's more professional eCommerce</t>
  </si>
  <si>
    <t>cần hỏi</t>
  </si>
  <si>
    <t>Member</t>
  </si>
  <si>
    <t>TiepND</t>
  </si>
  <si>
    <t>Nghi</t>
  </si>
  <si>
    <t>BangTD</t>
  </si>
</sst>
</file>

<file path=xl/styles.xml><?xml version="1.0" encoding="utf-8"?>
<styleSheet xmlns="http://schemas.openxmlformats.org/spreadsheetml/2006/main">
  <numFmts count="1">
    <numFmt numFmtId="164" formatCode="d&quot;-&quot;mmm"/>
  </numFmts>
  <fonts count="17">
    <font>
      <sz val="12"/>
      <color indexed="8"/>
      <name val="Verdana"/>
    </font>
    <font>
      <sz val="11"/>
      <color indexed="8"/>
      <name val="Calibri"/>
      <family val="2"/>
    </font>
    <font>
      <b/>
      <sz val="11"/>
      <color indexed="10"/>
      <name val="Calibri"/>
      <family val="2"/>
    </font>
    <font>
      <sz val="11"/>
      <color indexed="10"/>
      <name val="Calibri"/>
      <family val="2"/>
    </font>
    <font>
      <b/>
      <i/>
      <sz val="11"/>
      <color indexed="11"/>
      <name val="Calibri"/>
      <family val="2"/>
    </font>
    <font>
      <b/>
      <sz val="11"/>
      <color indexed="8"/>
      <name val="Calibri"/>
      <family val="2"/>
    </font>
    <font>
      <i/>
      <sz val="11"/>
      <color indexed="8"/>
      <name val="Calibri"/>
      <family val="2"/>
    </font>
    <font>
      <i/>
      <sz val="10"/>
      <color indexed="8"/>
      <name val="Arial"/>
      <family val="2"/>
    </font>
    <font>
      <sz val="20"/>
      <color indexed="12"/>
      <name val="Arial Bold"/>
    </font>
    <font>
      <sz val="20"/>
      <color indexed="13"/>
      <name val="Arial Bold"/>
    </font>
    <font>
      <b/>
      <sz val="11"/>
      <color indexed="14"/>
      <name val="Calibri"/>
      <family val="2"/>
    </font>
    <font>
      <sz val="11"/>
      <color indexed="16"/>
      <name val="Calibri"/>
      <family val="2"/>
    </font>
    <font>
      <sz val="10"/>
      <color indexed="8"/>
      <name val="Arial Bold"/>
    </font>
    <font>
      <sz val="10"/>
      <color indexed="8"/>
      <name val="Arial"/>
      <family val="2"/>
    </font>
    <font>
      <sz val="8"/>
      <name val="Verdana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5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3"/>
        <bgColor auto="1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7">
    <xf numFmtId="0" fontId="0" fillId="0" borderId="0" xfId="0" applyFont="1" applyAlignment="1">
      <alignment vertical="top" wrapText="1"/>
    </xf>
    <xf numFmtId="0" fontId="1" fillId="0" borderId="0" xfId="0" applyNumberFormat="1" applyFont="1" applyAlignment="1"/>
    <xf numFmtId="0" fontId="1" fillId="0" borderId="1" xfId="0" applyFont="1" applyBorder="1" applyAlignment="1">
      <alignment vertical="center"/>
    </xf>
    <xf numFmtId="0" fontId="10" fillId="2" borderId="2" xfId="0" applyNumberFormat="1" applyFont="1" applyFill="1" applyBorder="1" applyAlignment="1">
      <alignment horizontal="center" vertical="center"/>
    </xf>
    <xf numFmtId="0" fontId="12" fillId="5" borderId="2" xfId="0" applyNumberFormat="1" applyFont="1" applyFill="1" applyBorder="1" applyAlignment="1">
      <alignment vertical="center"/>
    </xf>
    <xf numFmtId="164" fontId="1" fillId="5" borderId="2" xfId="0" applyNumberFormat="1" applyFont="1" applyFill="1" applyBorder="1" applyAlignment="1">
      <alignment horizontal="right" vertical="center"/>
    </xf>
    <xf numFmtId="1" fontId="12" fillId="0" borderId="2" xfId="0" applyNumberFormat="1" applyFont="1" applyBorder="1" applyAlignment="1">
      <alignment vertical="center"/>
    </xf>
    <xf numFmtId="164" fontId="1" fillId="0" borderId="2" xfId="0" applyNumberFormat="1" applyFont="1" applyBorder="1" applyAlignment="1">
      <alignment horizontal="right" vertical="center"/>
    </xf>
    <xf numFmtId="1" fontId="12" fillId="6" borderId="2" xfId="0" applyNumberFormat="1" applyFont="1" applyFill="1" applyBorder="1" applyAlignment="1">
      <alignment vertical="center"/>
    </xf>
    <xf numFmtId="1" fontId="1" fillId="6" borderId="2" xfId="0" applyNumberFormat="1" applyFont="1" applyFill="1" applyBorder="1" applyAlignment="1">
      <alignment horizontal="center" vertical="center"/>
    </xf>
    <xf numFmtId="164" fontId="1" fillId="6" borderId="2" xfId="0" applyNumberFormat="1" applyFont="1" applyFill="1" applyBorder="1" applyAlignment="1">
      <alignment horizontal="right" vertical="center"/>
    </xf>
    <xf numFmtId="1" fontId="13" fillId="0" borderId="2" xfId="0" applyNumberFormat="1" applyFont="1" applyBorder="1" applyAlignment="1">
      <alignment vertical="center"/>
    </xf>
    <xf numFmtId="1" fontId="10" fillId="2" borderId="2" xfId="0" applyNumberFormat="1" applyFont="1" applyFill="1" applyBorder="1" applyAlignment="1">
      <alignment horizontal="center" vertical="center"/>
    </xf>
    <xf numFmtId="0" fontId="1" fillId="0" borderId="0" xfId="0" applyNumberFormat="1" applyFont="1" applyAlignment="1"/>
    <xf numFmtId="1" fontId="5" fillId="0" borderId="1" xfId="0" applyNumberFormat="1" applyFont="1" applyBorder="1" applyAlignment="1">
      <alignment vertical="center"/>
    </xf>
    <xf numFmtId="1" fontId="13" fillId="0" borderId="4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horizontal="right" vertical="center"/>
    </xf>
    <xf numFmtId="1" fontId="1" fillId="6" borderId="2" xfId="0" applyNumberFormat="1" applyFont="1" applyFill="1" applyBorder="1" applyAlignment="1">
      <alignment horizontal="right" vertical="center"/>
    </xf>
    <xf numFmtId="1" fontId="1" fillId="6" borderId="7" xfId="0" applyNumberFormat="1" applyFont="1" applyFill="1" applyBorder="1" applyAlignment="1">
      <alignment horizontal="right" vertical="center"/>
    </xf>
    <xf numFmtId="1" fontId="13" fillId="0" borderId="2" xfId="0" applyNumberFormat="1" applyFon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0" fillId="0" borderId="0" xfId="0" applyFont="1" applyAlignment="1">
      <alignment vertical="center" wrapText="1"/>
    </xf>
    <xf numFmtId="1" fontId="1" fillId="5" borderId="2" xfId="0" applyNumberFormat="1" applyFont="1" applyFill="1" applyBorder="1" applyAlignment="1">
      <alignment horizontal="left" vertical="center" wrapText="1"/>
    </xf>
    <xf numFmtId="0" fontId="1" fillId="0" borderId="2" xfId="0" applyNumberFormat="1" applyFont="1" applyBorder="1" applyAlignment="1">
      <alignment horizontal="left" vertical="center" wrapText="1"/>
    </xf>
    <xf numFmtId="0" fontId="5" fillId="6" borderId="2" xfId="0" applyNumberFormat="1" applyFont="1" applyFill="1" applyBorder="1" applyAlignment="1">
      <alignment horizontal="left" vertical="center" wrapText="1"/>
    </xf>
    <xf numFmtId="0" fontId="1" fillId="4" borderId="2" xfId="0" applyNumberFormat="1" applyFont="1" applyFill="1" applyBorder="1" applyAlignment="1">
      <alignment horizontal="left" vertical="center" wrapText="1"/>
    </xf>
    <xf numFmtId="0" fontId="1" fillId="0" borderId="6" xfId="0" applyNumberFormat="1" applyFont="1" applyBorder="1" applyAlignment="1">
      <alignment horizontal="left" vertical="center" wrapText="1"/>
    </xf>
    <xf numFmtId="0" fontId="1" fillId="0" borderId="3" xfId="0" applyNumberFormat="1" applyFont="1" applyBorder="1" applyAlignment="1">
      <alignment horizontal="left" vertical="center"/>
    </xf>
    <xf numFmtId="0" fontId="5" fillId="6" borderId="7" xfId="0" applyNumberFormat="1" applyFont="1" applyFill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0" xfId="0" applyNumberFormat="1" applyFont="1" applyBorder="1" applyAlignment="1">
      <alignment vertical="center"/>
    </xf>
    <xf numFmtId="1" fontId="1" fillId="0" borderId="0" xfId="0" applyNumberFormat="1" applyFont="1" applyBorder="1" applyAlignment="1">
      <alignment vertical="center"/>
    </xf>
    <xf numFmtId="0" fontId="3" fillId="0" borderId="0" xfId="0" applyNumberFormat="1" applyFont="1" applyBorder="1" applyAlignment="1">
      <alignment horizontal="left" vertical="center"/>
    </xf>
    <xf numFmtId="1" fontId="4" fillId="0" borderId="0" xfId="0" applyNumberFormat="1" applyFont="1" applyBorder="1" applyAlignment="1">
      <alignment horizontal="left" vertical="center"/>
    </xf>
    <xf numFmtId="1" fontId="6" fillId="0" borderId="0" xfId="0" applyNumberFormat="1" applyFont="1" applyBorder="1" applyAlignment="1">
      <alignment vertical="center"/>
    </xf>
    <xf numFmtId="1" fontId="7" fillId="0" borderId="0" xfId="0" applyNumberFormat="1" applyFont="1" applyBorder="1" applyAlignment="1">
      <alignment vertical="center"/>
    </xf>
    <xf numFmtId="0" fontId="8" fillId="0" borderId="0" xfId="0" applyNumberFormat="1" applyFont="1" applyBorder="1" applyAlignment="1">
      <alignment vertical="center"/>
    </xf>
    <xf numFmtId="0" fontId="10" fillId="2" borderId="8" xfId="0" applyNumberFormat="1" applyFont="1" applyFill="1" applyBorder="1" applyAlignment="1">
      <alignment horizontal="center" vertical="center"/>
    </xf>
    <xf numFmtId="0" fontId="10" fillId="2" borderId="8" xfId="0" applyNumberFormat="1" applyFont="1" applyFill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12" fillId="0" borderId="0" xfId="0" applyNumberFormat="1" applyFont="1" applyBorder="1" applyAlignment="1"/>
    <xf numFmtId="0" fontId="13" fillId="0" borderId="0" xfId="0" applyNumberFormat="1" applyFont="1" applyBorder="1" applyAlignment="1"/>
    <xf numFmtId="1" fontId="13" fillId="0" borderId="0" xfId="0" applyNumberFormat="1" applyFont="1" applyBorder="1" applyAlignment="1"/>
    <xf numFmtId="0" fontId="12" fillId="0" borderId="0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vertical="center"/>
    </xf>
    <xf numFmtId="1" fontId="1" fillId="0" borderId="3" xfId="0" applyNumberFormat="1" applyFont="1" applyBorder="1" applyAlignment="1">
      <alignment vertical="center"/>
    </xf>
    <xf numFmtId="0" fontId="12" fillId="0" borderId="3" xfId="0" applyNumberFormat="1" applyFont="1" applyBorder="1" applyAlignment="1">
      <alignment horizontal="center" vertical="center" wrapText="1"/>
    </xf>
    <xf numFmtId="0" fontId="12" fillId="0" borderId="3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/>
    <xf numFmtId="0" fontId="1" fillId="0" borderId="0" xfId="0" applyNumberFormat="1" applyFont="1" applyBorder="1" applyAlignment="1">
      <alignment horizontal="left"/>
    </xf>
    <xf numFmtId="1" fontId="1" fillId="0" borderId="0" xfId="0" applyNumberFormat="1" applyFont="1" applyBorder="1" applyAlignment="1"/>
    <xf numFmtId="0" fontId="3" fillId="0" borderId="0" xfId="0" applyNumberFormat="1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0" borderId="0" xfId="0" applyNumberFormat="1" applyFont="1" applyBorder="1" applyAlignment="1"/>
    <xf numFmtId="1" fontId="1" fillId="0" borderId="0" xfId="0" applyNumberFormat="1" applyFont="1" applyBorder="1" applyAlignment="1">
      <alignment horizontal="left"/>
    </xf>
    <xf numFmtId="1" fontId="1" fillId="0" borderId="0" xfId="0" applyNumberFormat="1" applyFont="1" applyBorder="1" applyAlignment="1">
      <alignment horizontal="left" vertical="center" wrapText="1"/>
    </xf>
    <xf numFmtId="1" fontId="9" fillId="0" borderId="0" xfId="0" applyNumberFormat="1" applyFont="1" applyBorder="1" applyAlignment="1">
      <alignment vertical="center"/>
    </xf>
    <xf numFmtId="0" fontId="10" fillId="2" borderId="3" xfId="0" applyNumberFormat="1" applyFont="1" applyFill="1" applyBorder="1" applyAlignment="1">
      <alignment horizontal="center" vertical="center"/>
    </xf>
    <xf numFmtId="0" fontId="10" fillId="2" borderId="3" xfId="0" applyNumberFormat="1" applyFont="1" applyFill="1" applyBorder="1" applyAlignment="1">
      <alignment horizontal="center" vertical="center" wrapText="1"/>
    </xf>
    <xf numFmtId="0" fontId="5" fillId="3" borderId="3" xfId="0" applyNumberFormat="1" applyFont="1" applyFill="1" applyBorder="1" applyAlignment="1">
      <alignment vertical="top"/>
    </xf>
    <xf numFmtId="1" fontId="5" fillId="3" borderId="3" xfId="0" applyNumberFormat="1" applyFont="1" applyFill="1" applyBorder="1" applyAlignment="1">
      <alignment horizontal="left" vertical="top" wrapText="1"/>
    </xf>
    <xf numFmtId="1" fontId="5" fillId="3" borderId="3" xfId="0" applyNumberFormat="1" applyFont="1" applyFill="1" applyBorder="1" applyAlignment="1">
      <alignment horizontal="center" vertical="top"/>
    </xf>
    <xf numFmtId="0" fontId="1" fillId="0" borderId="3" xfId="0" applyNumberFormat="1" applyFont="1" applyBorder="1" applyAlignment="1">
      <alignment vertical="center"/>
    </xf>
    <xf numFmtId="0" fontId="1" fillId="0" borderId="3" xfId="0" applyNumberFormat="1" applyFont="1" applyBorder="1" applyAlignment="1">
      <alignment horizontal="left" vertical="top" wrapText="1"/>
    </xf>
    <xf numFmtId="0" fontId="1" fillId="0" borderId="3" xfId="0" applyNumberFormat="1" applyFont="1" applyBorder="1" applyAlignment="1">
      <alignment horizontal="center" vertical="top"/>
    </xf>
    <xf numFmtId="1" fontId="1" fillId="0" borderId="3" xfId="0" applyNumberFormat="1" applyFont="1" applyBorder="1" applyAlignment="1">
      <alignment horizontal="left" vertical="center" wrapText="1"/>
    </xf>
    <xf numFmtId="0" fontId="1" fillId="4" borderId="3" xfId="0" applyNumberFormat="1" applyFont="1" applyFill="1" applyBorder="1" applyAlignment="1">
      <alignment vertical="center"/>
    </xf>
    <xf numFmtId="0" fontId="1" fillId="4" borderId="3" xfId="0" applyNumberFormat="1" applyFont="1" applyFill="1" applyBorder="1" applyAlignment="1">
      <alignment horizontal="left" vertical="top" wrapText="1"/>
    </xf>
    <xf numFmtId="0" fontId="1" fillId="4" borderId="3" xfId="0" applyNumberFormat="1" applyFont="1" applyFill="1" applyBorder="1" applyAlignment="1">
      <alignment horizontal="center" vertical="top"/>
    </xf>
    <xf numFmtId="1" fontId="1" fillId="4" borderId="3" xfId="0" applyNumberFormat="1" applyFont="1" applyFill="1" applyBorder="1" applyAlignment="1">
      <alignment horizontal="left" vertical="center" wrapText="1"/>
    </xf>
    <xf numFmtId="1" fontId="11" fillId="4" borderId="3" xfId="0" applyNumberFormat="1" applyFont="1" applyFill="1" applyBorder="1" applyAlignment="1">
      <alignment horizontal="left" vertical="center" wrapText="1"/>
    </xf>
    <xf numFmtId="0" fontId="11" fillId="4" borderId="3" xfId="0" applyNumberFormat="1" applyFont="1" applyFill="1" applyBorder="1" applyAlignment="1">
      <alignment horizontal="left" vertical="center" wrapText="1"/>
    </xf>
    <xf numFmtId="1" fontId="12" fillId="5" borderId="2" xfId="0" applyNumberFormat="1" applyFont="1" applyFill="1" applyBorder="1" applyAlignment="1">
      <alignment horizontal="center" vertical="center"/>
    </xf>
    <xf numFmtId="1" fontId="2" fillId="0" borderId="0" xfId="0" applyNumberFormat="1" applyFont="1" applyBorder="1" applyAlignment="1">
      <alignment vertical="center"/>
    </xf>
    <xf numFmtId="1" fontId="5" fillId="0" borderId="0" xfId="0" applyNumberFormat="1" applyFont="1" applyBorder="1" applyAlignment="1">
      <alignment vertical="center"/>
    </xf>
    <xf numFmtId="1" fontId="10" fillId="2" borderId="8" xfId="0" applyNumberFormat="1" applyFont="1" applyFill="1" applyBorder="1" applyAlignment="1">
      <alignment horizontal="center" vertical="center"/>
    </xf>
    <xf numFmtId="1" fontId="1" fillId="0" borderId="2" xfId="0" applyNumberFormat="1" applyFont="1" applyBorder="1" applyAlignment="1">
      <alignment horizontal="right" vertical="center"/>
    </xf>
    <xf numFmtId="1" fontId="1" fillId="4" borderId="2" xfId="0" applyNumberFormat="1" applyFont="1" applyFill="1" applyBorder="1" applyAlignment="1">
      <alignment horizontal="right" vertical="center"/>
    </xf>
    <xf numFmtId="1" fontId="1" fillId="0" borderId="6" xfId="0" applyNumberFormat="1" applyFont="1" applyBorder="1" applyAlignment="1">
      <alignment horizontal="right" vertical="center"/>
    </xf>
    <xf numFmtId="1" fontId="15" fillId="0" borderId="0" xfId="0" applyNumberFormat="1" applyFont="1" applyBorder="1" applyAlignment="1">
      <alignment horizontal="right" vertical="center"/>
    </xf>
    <xf numFmtId="1" fontId="15" fillId="0" borderId="2" xfId="0" applyNumberFormat="1" applyFont="1" applyBorder="1" applyAlignment="1">
      <alignment horizontal="right" vertical="center"/>
    </xf>
    <xf numFmtId="1" fontId="1" fillId="0" borderId="0" xfId="0" applyNumberFormat="1" applyFont="1" applyAlignment="1">
      <alignment vertical="center"/>
    </xf>
    <xf numFmtId="1" fontId="1" fillId="0" borderId="3" xfId="0" applyNumberFormat="1" applyFont="1" applyBorder="1" applyAlignment="1">
      <alignment horizontal="right" vertical="center"/>
    </xf>
    <xf numFmtId="0" fontId="1" fillId="7" borderId="2" xfId="0" applyNumberFormat="1" applyFont="1" applyFill="1" applyBorder="1" applyAlignment="1">
      <alignment horizontal="left" vertical="center" wrapText="1"/>
    </xf>
    <xf numFmtId="1" fontId="16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333333"/>
      <rgbColor rgb="FF969696"/>
      <rgbColor rgb="FF33CCCC"/>
      <rgbColor rgb="FF99CCFF"/>
      <rgbColor rgb="FFFFFFFF"/>
      <rgbColor rgb="FF333399"/>
      <rgbColor rgb="FFDD0806"/>
      <rgbColor rgb="FFC0C0C0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2381250</xdr:colOff>
      <xdr:row>2</xdr:row>
      <xdr:rowOff>218370</xdr:rowOff>
    </xdr:to>
    <xdr:pic>
      <xdr:nvPicPr>
        <xdr:cNvPr id="2" name="image.jpg"/>
        <xdr:cNvPicPr/>
      </xdr:nvPicPr>
      <xdr:blipFill>
        <a:blip xmlns:r="http://schemas.openxmlformats.org/officeDocument/2006/relationships" r:embed="rId1">
          <a:extLst/>
        </a:blip>
        <a:stretch>
          <a:fillRect/>
        </a:stretch>
      </xdr:blipFill>
      <xdr:spPr>
        <a:xfrm>
          <a:off x="0" y="0"/>
          <a:ext cx="2914650" cy="67557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105750</xdr:rowOff>
    </xdr:from>
    <xdr:to>
      <xdr:col>1</xdr:col>
      <xdr:colOff>2398514</xdr:colOff>
      <xdr:row>3</xdr:row>
      <xdr:rowOff>170520</xdr:rowOff>
    </xdr:to>
    <xdr:pic>
      <xdr:nvPicPr>
        <xdr:cNvPr id="4" name="image.jpg"/>
        <xdr:cNvPicPr/>
      </xdr:nvPicPr>
      <xdr:blipFill>
        <a:blip xmlns:r="http://schemas.openxmlformats.org/officeDocument/2006/relationships" r:embed="rId1">
          <a:extLst/>
        </a:blip>
        <a:stretch>
          <a:fillRect/>
        </a:stretch>
      </xdr:blipFill>
      <xdr:spPr>
        <a:xfrm>
          <a:off x="0" y="105750"/>
          <a:ext cx="3452615" cy="75057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105750</xdr:rowOff>
    </xdr:from>
    <xdr:to>
      <xdr:col>1</xdr:col>
      <xdr:colOff>2398514</xdr:colOff>
      <xdr:row>3</xdr:row>
      <xdr:rowOff>170520</xdr:rowOff>
    </xdr:to>
    <xdr:pic>
      <xdr:nvPicPr>
        <xdr:cNvPr id="2" name="image.jpg"/>
        <xdr:cNvPicPr/>
      </xdr:nvPicPr>
      <xdr:blipFill>
        <a:blip xmlns:r="http://schemas.openxmlformats.org/officeDocument/2006/relationships" r:embed="rId1">
          <a:extLst/>
        </a:blip>
        <a:stretch>
          <a:fillRect/>
        </a:stretch>
      </xdr:blipFill>
      <xdr:spPr>
        <a:xfrm>
          <a:off x="0" y="105750"/>
          <a:ext cx="3227189" cy="75057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105750</xdr:rowOff>
    </xdr:from>
    <xdr:to>
      <xdr:col>1</xdr:col>
      <xdr:colOff>2398514</xdr:colOff>
      <xdr:row>3</xdr:row>
      <xdr:rowOff>170520</xdr:rowOff>
    </xdr:to>
    <xdr:pic>
      <xdr:nvPicPr>
        <xdr:cNvPr id="2" name="image.jpg"/>
        <xdr:cNvPicPr/>
      </xdr:nvPicPr>
      <xdr:blipFill>
        <a:blip xmlns:r="http://schemas.openxmlformats.org/officeDocument/2006/relationships" r:embed="rId1">
          <a:extLst/>
        </a:blip>
        <a:stretch>
          <a:fillRect/>
        </a:stretch>
      </xdr:blipFill>
      <xdr:spPr>
        <a:xfrm>
          <a:off x="0" y="105750"/>
          <a:ext cx="3227189" cy="75057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0</xdr:row>
      <xdr:rowOff>105750</xdr:rowOff>
    </xdr:from>
    <xdr:to>
      <xdr:col>1</xdr:col>
      <xdr:colOff>2398514</xdr:colOff>
      <xdr:row>3</xdr:row>
      <xdr:rowOff>170520</xdr:rowOff>
    </xdr:to>
    <xdr:pic>
      <xdr:nvPicPr>
        <xdr:cNvPr id="3" name="image.jpg"/>
        <xdr:cNvPicPr/>
      </xdr:nvPicPr>
      <xdr:blipFill>
        <a:blip xmlns:r="http://schemas.openxmlformats.org/officeDocument/2006/relationships" r:embed="rId1">
          <a:extLst/>
        </a:blip>
        <a:stretch>
          <a:fillRect/>
        </a:stretch>
      </xdr:blipFill>
      <xdr:spPr>
        <a:xfrm>
          <a:off x="0" y="105750"/>
          <a:ext cx="3227189" cy="75057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enableFormatConditionsCalculation="0"/>
  <dimension ref="A1:IV60"/>
  <sheetViews>
    <sheetView showGridLines="0" view="pageBreakPreview" topLeftCell="A16" zoomScale="98" zoomScaleSheetLayoutView="98" workbookViewId="0">
      <selection activeCell="B55" sqref="B55"/>
    </sheetView>
  </sheetViews>
  <sheetFormatPr defaultColWidth="8.59765625" defaultRowHeight="14.1" customHeight="1"/>
  <cols>
    <col min="1" max="1" width="5.19921875" style="1" customWidth="1"/>
    <col min="2" max="2" width="25" style="1" customWidth="1"/>
    <col min="3" max="3" width="8.59765625" style="1" customWidth="1"/>
    <col min="4" max="4" width="28.59765625" style="1" customWidth="1"/>
    <col min="5" max="5" width="8" style="1" customWidth="1"/>
    <col min="6" max="256" width="8.59765625" style="1" customWidth="1"/>
  </cols>
  <sheetData>
    <row r="1" spans="1:256" ht="18" customHeight="1">
      <c r="A1" s="29"/>
      <c r="B1" s="29"/>
      <c r="C1" s="29"/>
      <c r="D1" s="29"/>
      <c r="IU1"/>
      <c r="IV1"/>
    </row>
    <row r="2" spans="1:256" ht="18" customHeight="1">
      <c r="A2" s="29"/>
      <c r="B2" s="29"/>
      <c r="C2" s="50" t="s">
        <v>121</v>
      </c>
      <c r="D2" s="51" t="s">
        <v>0</v>
      </c>
      <c r="IU2"/>
      <c r="IV2"/>
    </row>
    <row r="3" spans="1:256" ht="18" customHeight="1">
      <c r="A3" s="29"/>
      <c r="B3" s="29"/>
      <c r="C3" s="52"/>
      <c r="D3" s="53" t="s">
        <v>1</v>
      </c>
      <c r="IU3"/>
      <c r="IV3"/>
    </row>
    <row r="4" spans="1:256" ht="18" customHeight="1">
      <c r="A4" s="29"/>
      <c r="B4" s="29"/>
      <c r="C4" s="50" t="s">
        <v>120</v>
      </c>
      <c r="D4" s="51" t="s">
        <v>117</v>
      </c>
      <c r="IU4"/>
      <c r="IV4"/>
    </row>
    <row r="5" spans="1:256" ht="18" customHeight="1">
      <c r="A5" s="29"/>
      <c r="B5" s="29"/>
      <c r="C5" s="50" t="s">
        <v>119</v>
      </c>
      <c r="D5" s="51" t="s">
        <v>2</v>
      </c>
      <c r="IU5"/>
      <c r="IV5"/>
    </row>
    <row r="6" spans="1:256" ht="18" customHeight="1">
      <c r="A6" s="29"/>
      <c r="B6" s="29"/>
      <c r="C6" s="52"/>
      <c r="D6" s="54"/>
      <c r="IU6"/>
      <c r="IV6"/>
    </row>
    <row r="7" spans="1:256" ht="18" customHeight="1">
      <c r="A7" s="29"/>
      <c r="B7" s="29"/>
      <c r="C7" s="55" t="s">
        <v>116</v>
      </c>
      <c r="D7" s="56"/>
      <c r="IU7"/>
      <c r="IV7"/>
    </row>
    <row r="8" spans="1:256" ht="18" customHeight="1">
      <c r="A8" s="34"/>
      <c r="B8" s="29"/>
      <c r="C8" s="29"/>
      <c r="D8" s="57"/>
      <c r="IU8"/>
      <c r="IV8"/>
    </row>
    <row r="9" spans="1:256" ht="18" customHeight="1">
      <c r="A9" s="35"/>
      <c r="B9" s="29"/>
      <c r="C9" s="29"/>
      <c r="D9" s="57"/>
      <c r="IU9"/>
      <c r="IV9"/>
    </row>
    <row r="10" spans="1:256" ht="27.95" customHeight="1">
      <c r="A10" s="36" t="s">
        <v>3</v>
      </c>
      <c r="B10" s="58"/>
      <c r="C10" s="29"/>
      <c r="D10" s="57"/>
      <c r="IU10"/>
      <c r="IV10"/>
    </row>
    <row r="11" spans="1:256" ht="18" customHeight="1">
      <c r="A11" s="59" t="s">
        <v>4</v>
      </c>
      <c r="B11" s="59" t="s">
        <v>5</v>
      </c>
      <c r="C11" s="59" t="s">
        <v>6</v>
      </c>
      <c r="D11" s="60" t="s">
        <v>7</v>
      </c>
      <c r="IU11"/>
      <c r="IV11"/>
    </row>
    <row r="12" spans="1:256" ht="18" customHeight="1">
      <c r="A12" s="61" t="s">
        <v>8</v>
      </c>
      <c r="B12" s="62"/>
      <c r="C12" s="63"/>
      <c r="D12" s="62"/>
      <c r="IU12"/>
      <c r="IV12"/>
    </row>
    <row r="13" spans="1:256" ht="18" customHeight="1">
      <c r="A13" s="64">
        <v>1</v>
      </c>
      <c r="B13" s="65" t="s">
        <v>9</v>
      </c>
      <c r="C13" s="66" t="s">
        <v>10</v>
      </c>
      <c r="D13" s="67"/>
      <c r="IU13"/>
      <c r="IV13"/>
    </row>
    <row r="14" spans="1:256" ht="18" customHeight="1">
      <c r="A14" s="64">
        <v>2</v>
      </c>
      <c r="B14" s="65" t="s">
        <v>11</v>
      </c>
      <c r="C14" s="66" t="s">
        <v>10</v>
      </c>
      <c r="D14" s="67"/>
      <c r="IU14"/>
      <c r="IV14"/>
    </row>
    <row r="15" spans="1:256" ht="18" customHeight="1">
      <c r="A15" s="68">
        <v>3</v>
      </c>
      <c r="B15" s="69" t="s">
        <v>12</v>
      </c>
      <c r="C15" s="70" t="s">
        <v>10</v>
      </c>
      <c r="D15" s="71"/>
      <c r="IU15"/>
      <c r="IV15"/>
    </row>
    <row r="16" spans="1:256" ht="18" customHeight="1">
      <c r="A16" s="64">
        <v>4</v>
      </c>
      <c r="B16" s="65" t="s">
        <v>13</v>
      </c>
      <c r="C16" s="66" t="s">
        <v>10</v>
      </c>
      <c r="D16" s="67"/>
      <c r="IU16"/>
      <c r="IV16"/>
    </row>
    <row r="17" spans="1:256" ht="18" customHeight="1">
      <c r="A17" s="61" t="s">
        <v>14</v>
      </c>
      <c r="B17" s="62"/>
      <c r="C17" s="63"/>
      <c r="D17" s="62"/>
      <c r="IU17"/>
      <c r="IV17"/>
    </row>
    <row r="18" spans="1:256" ht="18" customHeight="1">
      <c r="A18" s="64">
        <v>1</v>
      </c>
      <c r="B18" s="65" t="s">
        <v>15</v>
      </c>
      <c r="C18" s="66" t="s">
        <v>10</v>
      </c>
      <c r="D18" s="72"/>
      <c r="IU18"/>
      <c r="IV18"/>
    </row>
    <row r="19" spans="1:256" ht="18" customHeight="1">
      <c r="A19" s="68">
        <v>2</v>
      </c>
      <c r="B19" s="69" t="s">
        <v>16</v>
      </c>
      <c r="C19" s="70" t="s">
        <v>10</v>
      </c>
      <c r="D19" s="71"/>
      <c r="IU19"/>
      <c r="IV19"/>
    </row>
    <row r="20" spans="1:256" ht="18" customHeight="1">
      <c r="A20" s="64">
        <v>3</v>
      </c>
      <c r="B20" s="69" t="s">
        <v>17</v>
      </c>
      <c r="C20" s="70" t="s">
        <v>10</v>
      </c>
      <c r="D20" s="72"/>
      <c r="IU20"/>
      <c r="IV20"/>
    </row>
    <row r="21" spans="1:256" ht="18" customHeight="1">
      <c r="A21" s="68">
        <v>4</v>
      </c>
      <c r="B21" s="69" t="s">
        <v>18</v>
      </c>
      <c r="C21" s="70" t="s">
        <v>10</v>
      </c>
      <c r="D21" s="72"/>
      <c r="IU21"/>
      <c r="IV21"/>
    </row>
    <row r="22" spans="1:256" ht="18" customHeight="1">
      <c r="A22" s="64">
        <v>5</v>
      </c>
      <c r="B22" s="65" t="s">
        <v>19</v>
      </c>
      <c r="C22" s="66" t="s">
        <v>10</v>
      </c>
      <c r="D22" s="72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/>
      <c r="IV22"/>
    </row>
    <row r="23" spans="1:256" ht="18" customHeight="1">
      <c r="A23" s="64">
        <v>6</v>
      </c>
      <c r="B23" s="65" t="s">
        <v>114</v>
      </c>
      <c r="C23" s="66" t="s">
        <v>10</v>
      </c>
      <c r="D23" s="67"/>
      <c r="IU23"/>
      <c r="IV23"/>
    </row>
    <row r="24" spans="1:256" ht="18" customHeight="1">
      <c r="A24" s="61" t="s">
        <v>20</v>
      </c>
      <c r="B24" s="62"/>
      <c r="C24" s="63"/>
      <c r="D24" s="62"/>
      <c r="IU24"/>
      <c r="IV24"/>
    </row>
    <row r="25" spans="1:256" ht="18" customHeight="1">
      <c r="A25" s="64">
        <v>1</v>
      </c>
      <c r="B25" s="65" t="s">
        <v>21</v>
      </c>
      <c r="C25" s="66" t="s">
        <v>10</v>
      </c>
      <c r="D25" s="72"/>
      <c r="IU25"/>
      <c r="IV25"/>
    </row>
    <row r="26" spans="1:256" ht="18" customHeight="1">
      <c r="A26" s="64">
        <v>2</v>
      </c>
      <c r="B26" s="65" t="s">
        <v>22</v>
      </c>
      <c r="C26" s="66" t="s">
        <v>10</v>
      </c>
      <c r="D26" s="72"/>
      <c r="IU26"/>
      <c r="IV26"/>
    </row>
    <row r="27" spans="1:256" ht="18" customHeight="1">
      <c r="A27" s="61" t="s">
        <v>23</v>
      </c>
      <c r="B27" s="62"/>
      <c r="C27" s="63"/>
      <c r="D27" s="62"/>
      <c r="IU27"/>
      <c r="IV27"/>
    </row>
    <row r="28" spans="1:256" ht="18" customHeight="1">
      <c r="A28" s="64">
        <v>1</v>
      </c>
      <c r="B28" s="65" t="s">
        <v>24</v>
      </c>
      <c r="C28" s="66" t="s">
        <v>10</v>
      </c>
      <c r="D28" s="72"/>
      <c r="IU28"/>
      <c r="IV28"/>
    </row>
    <row r="29" spans="1:256" ht="18" customHeight="1">
      <c r="A29" s="64">
        <v>2</v>
      </c>
      <c r="B29" s="65" t="s">
        <v>25</v>
      </c>
      <c r="C29" s="66" t="s">
        <v>10</v>
      </c>
      <c r="D29" s="72"/>
      <c r="IU29"/>
      <c r="IV29"/>
    </row>
    <row r="30" spans="1:256" ht="18" customHeight="1">
      <c r="A30" s="64">
        <v>3</v>
      </c>
      <c r="B30" s="65" t="s">
        <v>26</v>
      </c>
      <c r="C30" s="66" t="s">
        <v>10</v>
      </c>
      <c r="D30" s="72"/>
      <c r="IU30"/>
      <c r="IV30"/>
    </row>
    <row r="31" spans="1:256" ht="18" customHeight="1">
      <c r="A31" s="64">
        <v>4</v>
      </c>
      <c r="B31" s="65" t="s">
        <v>27</v>
      </c>
      <c r="C31" s="66" t="s">
        <v>10</v>
      </c>
      <c r="D31" s="72"/>
      <c r="IU31"/>
      <c r="IV31"/>
    </row>
    <row r="32" spans="1:256" ht="18" customHeight="1">
      <c r="A32" s="64">
        <v>5</v>
      </c>
      <c r="B32" s="69" t="s">
        <v>28</v>
      </c>
      <c r="C32" s="70" t="s">
        <v>10</v>
      </c>
      <c r="D32" s="72"/>
      <c r="IU32"/>
      <c r="IV32"/>
    </row>
    <row r="33" spans="1:256" ht="18" customHeight="1">
      <c r="A33" s="64">
        <v>6</v>
      </c>
      <c r="B33" s="69" t="s">
        <v>29</v>
      </c>
      <c r="C33" s="70" t="s">
        <v>10</v>
      </c>
      <c r="D33" s="72"/>
      <c r="IU33"/>
      <c r="IV33"/>
    </row>
    <row r="34" spans="1:256" ht="18" customHeight="1">
      <c r="A34" s="64">
        <v>7</v>
      </c>
      <c r="B34" s="69" t="s">
        <v>30</v>
      </c>
      <c r="C34" s="70" t="s">
        <v>10</v>
      </c>
      <c r="D34" s="71"/>
      <c r="IU34"/>
      <c r="IV34"/>
    </row>
    <row r="35" spans="1:256" ht="18" customHeight="1">
      <c r="A35" s="64">
        <v>8</v>
      </c>
      <c r="B35" s="65" t="s">
        <v>31</v>
      </c>
      <c r="C35" s="66" t="s">
        <v>10</v>
      </c>
      <c r="D35" s="72"/>
      <c r="IU35"/>
      <c r="IV35"/>
    </row>
    <row r="36" spans="1:256" ht="18" customHeight="1">
      <c r="A36" s="64">
        <v>9</v>
      </c>
      <c r="B36" s="69" t="s">
        <v>32</v>
      </c>
      <c r="C36" s="70" t="s">
        <v>10</v>
      </c>
      <c r="D36" s="71"/>
      <c r="IU36"/>
      <c r="IV36"/>
    </row>
    <row r="37" spans="1:256" ht="18" customHeight="1">
      <c r="A37" s="64">
        <v>10</v>
      </c>
      <c r="B37" s="69" t="s">
        <v>33</v>
      </c>
      <c r="C37" s="70" t="s">
        <v>10</v>
      </c>
      <c r="D37" s="71"/>
      <c r="IU37"/>
      <c r="IV37"/>
    </row>
    <row r="38" spans="1:256" ht="18" customHeight="1">
      <c r="A38" s="61" t="s">
        <v>34</v>
      </c>
      <c r="B38" s="62"/>
      <c r="C38" s="63"/>
      <c r="D38" s="62"/>
      <c r="IU38"/>
      <c r="IV38"/>
    </row>
    <row r="39" spans="1:256" ht="18" customHeight="1">
      <c r="A39" s="64">
        <v>1</v>
      </c>
      <c r="B39" s="65" t="s">
        <v>35</v>
      </c>
      <c r="C39" s="66" t="s">
        <v>10</v>
      </c>
      <c r="D39" s="71"/>
      <c r="IU39"/>
      <c r="IV39"/>
    </row>
    <row r="40" spans="1:256" ht="18" customHeight="1">
      <c r="A40" s="61" t="s">
        <v>36</v>
      </c>
      <c r="B40" s="62"/>
      <c r="C40" s="63"/>
      <c r="D40" s="62"/>
      <c r="IU40"/>
      <c r="IV40"/>
    </row>
    <row r="41" spans="1:256" ht="18" customHeight="1">
      <c r="A41" s="64">
        <v>1</v>
      </c>
      <c r="B41" s="65" t="s">
        <v>37</v>
      </c>
      <c r="C41" s="66" t="s">
        <v>10</v>
      </c>
      <c r="D41" s="72"/>
      <c r="IU41"/>
      <c r="IV41"/>
    </row>
    <row r="42" spans="1:256" ht="18" customHeight="1">
      <c r="A42" s="61" t="s">
        <v>38</v>
      </c>
      <c r="B42" s="62"/>
      <c r="C42" s="63"/>
      <c r="D42" s="62"/>
      <c r="IU42"/>
      <c r="IV42"/>
    </row>
    <row r="43" spans="1:256" ht="18" customHeight="1">
      <c r="A43" s="64">
        <v>1</v>
      </c>
      <c r="B43" s="65" t="s">
        <v>39</v>
      </c>
      <c r="C43" s="66" t="s">
        <v>10</v>
      </c>
      <c r="D43" s="72"/>
      <c r="IU43"/>
      <c r="IV43"/>
    </row>
    <row r="44" spans="1:256" ht="18" customHeight="1">
      <c r="A44" s="64">
        <v>2</v>
      </c>
      <c r="B44" s="65" t="s">
        <v>40</v>
      </c>
      <c r="C44" s="66" t="s">
        <v>10</v>
      </c>
      <c r="D44" s="71"/>
      <c r="IU44"/>
      <c r="IV44"/>
    </row>
    <row r="45" spans="1:256" ht="18" customHeight="1">
      <c r="A45" s="64">
        <v>3</v>
      </c>
      <c r="B45" s="65" t="s">
        <v>41</v>
      </c>
      <c r="C45" s="66" t="s">
        <v>10</v>
      </c>
      <c r="D45" s="72"/>
      <c r="IU45"/>
      <c r="IV45"/>
    </row>
    <row r="46" spans="1:256" ht="18" customHeight="1">
      <c r="A46" s="64">
        <v>4</v>
      </c>
      <c r="B46" s="65" t="s">
        <v>42</v>
      </c>
      <c r="C46" s="66" t="s">
        <v>10</v>
      </c>
      <c r="D46" s="73" t="s">
        <v>43</v>
      </c>
      <c r="IU46"/>
      <c r="IV46"/>
    </row>
    <row r="47" spans="1:256" ht="18" customHeight="1">
      <c r="A47" s="64">
        <v>5</v>
      </c>
      <c r="B47" s="65" t="s">
        <v>44</v>
      </c>
      <c r="C47" s="66" t="s">
        <v>10</v>
      </c>
      <c r="D47" s="72"/>
      <c r="IU47"/>
      <c r="IV47"/>
    </row>
    <row r="48" spans="1:256" ht="18" customHeight="1">
      <c r="A48" s="64">
        <v>6</v>
      </c>
      <c r="B48" s="65" t="s">
        <v>45</v>
      </c>
      <c r="C48" s="66" t="s">
        <v>10</v>
      </c>
      <c r="D48" s="72"/>
      <c r="IU48"/>
      <c r="IV48"/>
    </row>
    <row r="49" spans="1:256" ht="18" customHeight="1">
      <c r="A49" s="64">
        <v>7</v>
      </c>
      <c r="B49" s="65" t="s">
        <v>46</v>
      </c>
      <c r="C49" s="66" t="s">
        <v>10</v>
      </c>
      <c r="D49" s="71"/>
      <c r="IU49"/>
      <c r="IV49"/>
    </row>
    <row r="50" spans="1:256" ht="18" customHeight="1">
      <c r="A50" s="61" t="s">
        <v>47</v>
      </c>
      <c r="B50" s="62"/>
      <c r="C50" s="63"/>
      <c r="D50" s="62"/>
      <c r="IU50"/>
      <c r="IV50"/>
    </row>
    <row r="51" spans="1:256" ht="18" customHeight="1">
      <c r="A51" s="64">
        <v>1</v>
      </c>
      <c r="B51" s="65" t="s">
        <v>48</v>
      </c>
      <c r="C51" s="66" t="s">
        <v>10</v>
      </c>
      <c r="D51" s="72" t="s">
        <v>127</v>
      </c>
      <c r="IU51"/>
      <c r="IV51"/>
    </row>
    <row r="52" spans="1:256" ht="18" customHeight="1">
      <c r="A52" s="64">
        <v>2</v>
      </c>
      <c r="B52" s="65" t="s">
        <v>49</v>
      </c>
      <c r="C52" s="66" t="s">
        <v>10</v>
      </c>
      <c r="D52" s="72"/>
      <c r="IU52"/>
      <c r="IV52"/>
    </row>
    <row r="53" spans="1:256" ht="18" customHeight="1">
      <c r="A53" s="64">
        <v>3</v>
      </c>
      <c r="B53" s="65" t="s">
        <v>50</v>
      </c>
      <c r="C53" s="66" t="s">
        <v>10</v>
      </c>
      <c r="D53" s="72"/>
      <c r="IU53"/>
      <c r="IV53"/>
    </row>
    <row r="54" spans="1:256" ht="18" customHeight="1">
      <c r="A54" s="64">
        <v>4</v>
      </c>
      <c r="B54" s="65" t="s">
        <v>51</v>
      </c>
      <c r="C54" s="66" t="s">
        <v>10</v>
      </c>
      <c r="D54" s="71"/>
      <c r="IU54"/>
      <c r="IV54"/>
    </row>
    <row r="55" spans="1:256" ht="18" customHeight="1">
      <c r="A55" s="64">
        <v>5</v>
      </c>
      <c r="B55" s="65" t="s">
        <v>52</v>
      </c>
      <c r="C55" s="66" t="s">
        <v>10</v>
      </c>
      <c r="D55" s="72" t="s">
        <v>122</v>
      </c>
      <c r="IU55"/>
      <c r="IV55"/>
    </row>
    <row r="56" spans="1:256" ht="18" customHeight="1">
      <c r="A56" s="64">
        <v>6</v>
      </c>
      <c r="B56" s="65" t="s">
        <v>53</v>
      </c>
      <c r="C56" s="66" t="s">
        <v>10</v>
      </c>
      <c r="D56" s="72" t="s">
        <v>123</v>
      </c>
      <c r="IU56"/>
      <c r="IV56"/>
    </row>
    <row r="57" spans="1:256" ht="18" customHeight="1">
      <c r="A57" s="64">
        <v>7</v>
      </c>
      <c r="B57" s="65" t="s">
        <v>54</v>
      </c>
      <c r="C57" s="66" t="s">
        <v>10</v>
      </c>
      <c r="D57" s="72" t="s">
        <v>124</v>
      </c>
      <c r="IU57"/>
      <c r="IV57"/>
    </row>
    <row r="58" spans="1:256" ht="18" customHeight="1">
      <c r="A58" s="64">
        <v>8</v>
      </c>
      <c r="B58" s="65" t="s">
        <v>55</v>
      </c>
      <c r="C58" s="66" t="s">
        <v>10</v>
      </c>
      <c r="D58" s="72" t="s">
        <v>125</v>
      </c>
      <c r="IU58"/>
      <c r="IV58"/>
    </row>
    <row r="59" spans="1:256" ht="18" customHeight="1">
      <c r="A59" s="64">
        <v>9</v>
      </c>
      <c r="B59" s="65" t="s">
        <v>56</v>
      </c>
      <c r="C59" s="66" t="s">
        <v>10</v>
      </c>
      <c r="D59" s="72" t="s">
        <v>126</v>
      </c>
      <c r="IU59"/>
      <c r="IV59"/>
    </row>
    <row r="60" spans="1:256" ht="14.1" customHeight="1">
      <c r="IU60"/>
      <c r="IV60"/>
    </row>
  </sheetData>
  <phoneticPr fontId="14" type="noConversion"/>
  <pageMargins left="0.75" right="0.75" top="1" bottom="1" header="0.5" footer="0.5"/>
  <pageSetup scale="93" orientation="portrait" r:id="rId1"/>
  <headerFooter>
    <oddFooter>&amp;L&amp;"Helvetica,Regular"&amp;12&amp;K000000	&amp;P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 enableFormatConditionsCalculation="0">
    <pageSetUpPr fitToPage="1"/>
  </sheetPr>
  <dimension ref="A1:IW70"/>
  <sheetViews>
    <sheetView showGridLines="0" tabSelected="1" view="pageBreakPreview" topLeftCell="A7" zoomScale="96" zoomScaleSheetLayoutView="96" workbookViewId="0">
      <selection activeCell="G61" sqref="G61"/>
    </sheetView>
  </sheetViews>
  <sheetFormatPr defaultColWidth="8.59765625" defaultRowHeight="14.1" customHeight="1"/>
  <cols>
    <col min="1" max="1" width="8.69921875" style="20" customWidth="1"/>
    <col min="2" max="2" width="25.3984375" style="20" customWidth="1"/>
    <col min="3" max="4" width="9.3984375" style="83" customWidth="1"/>
    <col min="5" max="6" width="14.3984375" style="20" customWidth="1"/>
    <col min="7" max="7" width="11.09765625" style="20" customWidth="1"/>
    <col min="8" max="8" width="7.19921875" style="20" customWidth="1"/>
    <col min="9" max="257" width="8.59765625" style="20" customWidth="1"/>
    <col min="258" max="16384" width="8.59765625" style="21"/>
  </cols>
  <sheetData>
    <row r="1" spans="1:257" ht="18" customHeight="1">
      <c r="A1" s="29"/>
      <c r="B1" s="29"/>
      <c r="C1" s="31"/>
      <c r="D1" s="31"/>
      <c r="E1" s="29"/>
      <c r="F1" s="29"/>
      <c r="IU1" s="21"/>
      <c r="IV1" s="21"/>
      <c r="IW1" s="21"/>
    </row>
    <row r="2" spans="1:257" ht="18" customHeight="1">
      <c r="A2" s="29"/>
      <c r="B2" s="29"/>
      <c r="C2" s="75" t="s">
        <v>121</v>
      </c>
      <c r="D2" s="75"/>
      <c r="E2" s="30" t="s">
        <v>0</v>
      </c>
      <c r="F2" s="29"/>
      <c r="IU2" s="21"/>
      <c r="IV2" s="21"/>
      <c r="IW2" s="21"/>
    </row>
    <row r="3" spans="1:257" ht="18" customHeight="1">
      <c r="A3" s="29"/>
      <c r="B3" s="29"/>
      <c r="C3" s="31"/>
      <c r="D3" s="31"/>
      <c r="E3" s="32" t="s">
        <v>1</v>
      </c>
      <c r="F3" s="29"/>
      <c r="IU3" s="21"/>
      <c r="IV3" s="21"/>
      <c r="IW3" s="21"/>
    </row>
    <row r="4" spans="1:257" ht="18" customHeight="1">
      <c r="A4" s="29"/>
      <c r="B4" s="29"/>
      <c r="C4" s="75" t="s">
        <v>120</v>
      </c>
      <c r="D4" s="75"/>
      <c r="E4" s="30" t="s">
        <v>117</v>
      </c>
      <c r="F4" s="29"/>
      <c r="IU4" s="21"/>
      <c r="IV4" s="21"/>
      <c r="IW4" s="21"/>
    </row>
    <row r="5" spans="1:257" ht="18" customHeight="1">
      <c r="A5" s="29"/>
      <c r="B5" s="29"/>
      <c r="C5" s="75" t="s">
        <v>119</v>
      </c>
      <c r="D5" s="75"/>
      <c r="E5" s="30" t="s">
        <v>118</v>
      </c>
      <c r="F5" s="29"/>
      <c r="IU5" s="21"/>
      <c r="IV5" s="21"/>
      <c r="IW5" s="21"/>
    </row>
    <row r="6" spans="1:257" ht="18" customHeight="1">
      <c r="A6" s="29"/>
      <c r="B6" s="29"/>
      <c r="C6" s="31"/>
      <c r="D6" s="31"/>
      <c r="E6" s="33"/>
      <c r="F6" s="29"/>
      <c r="IU6" s="21"/>
      <c r="IV6" s="21"/>
      <c r="IW6" s="21"/>
    </row>
    <row r="7" spans="1:257" ht="18" customHeight="1">
      <c r="A7" s="29"/>
      <c r="B7" s="29"/>
      <c r="C7" s="76" t="s">
        <v>116</v>
      </c>
      <c r="D7" s="76"/>
      <c r="E7" s="31"/>
      <c r="F7" s="29"/>
      <c r="IU7" s="21"/>
      <c r="IV7" s="21"/>
      <c r="IW7" s="21"/>
    </row>
    <row r="8" spans="1:257" ht="18" customHeight="1">
      <c r="A8" s="34"/>
      <c r="B8" s="29"/>
      <c r="C8" s="31"/>
      <c r="D8" s="31"/>
      <c r="E8" s="29"/>
      <c r="F8" s="29"/>
      <c r="IU8" s="21"/>
      <c r="IV8" s="21"/>
      <c r="IW8" s="21"/>
    </row>
    <row r="9" spans="1:257" ht="18" customHeight="1">
      <c r="A9" s="35"/>
      <c r="B9" s="29"/>
      <c r="C9" s="31"/>
      <c r="D9" s="31"/>
      <c r="E9" s="29"/>
      <c r="F9" s="29"/>
      <c r="IU9" s="21"/>
      <c r="IV9" s="21"/>
      <c r="IW9" s="21"/>
    </row>
    <row r="10" spans="1:257" ht="27.95" customHeight="1">
      <c r="A10" s="36" t="s">
        <v>57</v>
      </c>
      <c r="B10" s="29"/>
      <c r="C10" s="31"/>
      <c r="D10" s="31"/>
      <c r="E10" s="29"/>
      <c r="F10" s="29"/>
      <c r="IU10" s="21"/>
      <c r="IV10" s="21"/>
      <c r="IW10" s="21"/>
    </row>
    <row r="11" spans="1:257" ht="15">
      <c r="A11" s="37" t="s">
        <v>58</v>
      </c>
      <c r="B11" s="37" t="s">
        <v>59</v>
      </c>
      <c r="C11" s="77" t="s">
        <v>115</v>
      </c>
      <c r="D11" s="77" t="s">
        <v>129</v>
      </c>
      <c r="E11" s="38" t="s">
        <v>60</v>
      </c>
      <c r="F11" s="37" t="s">
        <v>61</v>
      </c>
      <c r="IU11" s="21"/>
      <c r="IV11" s="21"/>
      <c r="IW11" s="21"/>
    </row>
    <row r="12" spans="1:257" ht="15">
      <c r="A12" s="4" t="s">
        <v>62</v>
      </c>
      <c r="B12" s="22"/>
      <c r="C12" s="74">
        <f>SUM(C13:C14)</f>
        <v>4</v>
      </c>
      <c r="D12" s="74"/>
      <c r="E12" s="5"/>
      <c r="F12" s="5"/>
      <c r="IU12" s="21"/>
      <c r="IV12" s="21"/>
      <c r="IW12" s="21"/>
    </row>
    <row r="13" spans="1:257" ht="15">
      <c r="A13" s="6"/>
      <c r="B13" s="23" t="s">
        <v>63</v>
      </c>
      <c r="C13" s="78">
        <v>2</v>
      </c>
      <c r="D13" s="78" t="s">
        <v>132</v>
      </c>
      <c r="E13" s="7"/>
      <c r="F13" s="7"/>
      <c r="IU13" s="21"/>
      <c r="IV13" s="21"/>
      <c r="IW13" s="21"/>
    </row>
    <row r="14" spans="1:257" ht="15">
      <c r="A14" s="6"/>
      <c r="B14" s="23" t="s">
        <v>64</v>
      </c>
      <c r="C14" s="78">
        <v>2</v>
      </c>
      <c r="D14" s="78" t="s">
        <v>132</v>
      </c>
      <c r="E14" s="7"/>
      <c r="F14" s="7"/>
      <c r="IU14" s="21"/>
      <c r="IV14" s="21"/>
      <c r="IW14" s="21"/>
    </row>
    <row r="15" spans="1:257" ht="15">
      <c r="A15" s="4" t="s">
        <v>65</v>
      </c>
      <c r="B15" s="22"/>
      <c r="C15" s="74">
        <f>SUM(C17:C64)</f>
        <v>149</v>
      </c>
      <c r="D15" s="74"/>
      <c r="E15" s="5"/>
      <c r="F15" s="5"/>
      <c r="IU15" s="21"/>
      <c r="IV15" s="21"/>
      <c r="IW15" s="21"/>
    </row>
    <row r="16" spans="1:257" ht="15">
      <c r="A16" s="8"/>
      <c r="B16" s="24" t="s">
        <v>8</v>
      </c>
      <c r="C16" s="9"/>
      <c r="D16" s="9"/>
      <c r="E16" s="10"/>
      <c r="F16" s="10"/>
      <c r="IU16" s="21"/>
      <c r="IV16" s="21"/>
      <c r="IW16" s="21"/>
    </row>
    <row r="17" spans="1:257" ht="15">
      <c r="A17" s="11"/>
      <c r="B17" s="85" t="s">
        <v>9</v>
      </c>
      <c r="C17" s="78">
        <v>1</v>
      </c>
      <c r="D17" s="78"/>
      <c r="E17" s="7"/>
      <c r="F17" s="7"/>
      <c r="IU17" s="21"/>
      <c r="IV17" s="21"/>
      <c r="IW17" s="21"/>
    </row>
    <row r="18" spans="1:257" ht="15">
      <c r="A18" s="11"/>
      <c r="B18" s="23" t="s">
        <v>11</v>
      </c>
      <c r="C18" s="79">
        <v>2</v>
      </c>
      <c r="D18" s="79" t="s">
        <v>130</v>
      </c>
      <c r="E18" s="7">
        <v>41810</v>
      </c>
      <c r="F18" s="7">
        <v>41810</v>
      </c>
      <c r="IU18" s="21"/>
      <c r="IV18" s="21"/>
      <c r="IW18" s="21"/>
    </row>
    <row r="19" spans="1:257" ht="15">
      <c r="A19" s="11"/>
      <c r="B19" s="85" t="s">
        <v>12</v>
      </c>
      <c r="C19" s="78">
        <v>1</v>
      </c>
      <c r="D19" s="78"/>
      <c r="E19" s="7"/>
      <c r="F19" s="7"/>
      <c r="IU19" s="21"/>
      <c r="IV19" s="21"/>
      <c r="IW19" s="21"/>
    </row>
    <row r="20" spans="1:257" ht="30">
      <c r="A20" s="11"/>
      <c r="B20" s="25" t="s">
        <v>113</v>
      </c>
      <c r="C20" s="78">
        <v>4</v>
      </c>
      <c r="D20" s="78" t="s">
        <v>130</v>
      </c>
      <c r="E20" s="7">
        <v>41810</v>
      </c>
      <c r="F20" s="7">
        <v>41810</v>
      </c>
      <c r="IU20" s="21"/>
      <c r="IV20" s="21"/>
      <c r="IW20" s="21"/>
    </row>
    <row r="21" spans="1:257" ht="15">
      <c r="A21" s="11"/>
      <c r="B21" s="85" t="s">
        <v>112</v>
      </c>
      <c r="C21" s="79">
        <v>4</v>
      </c>
      <c r="D21" s="79"/>
      <c r="E21" s="7"/>
      <c r="F21" s="7"/>
      <c r="IU21" s="21"/>
      <c r="IV21" s="21"/>
      <c r="IW21" s="21"/>
    </row>
    <row r="22" spans="1:257" ht="15">
      <c r="A22" s="8"/>
      <c r="B22" s="24" t="s">
        <v>14</v>
      </c>
      <c r="C22" s="17"/>
      <c r="D22" s="17"/>
      <c r="E22" s="10"/>
      <c r="F22" s="10"/>
      <c r="IU22" s="21"/>
      <c r="IV22" s="21"/>
      <c r="IW22" s="21"/>
    </row>
    <row r="23" spans="1:257" ht="15">
      <c r="A23" s="11" t="s">
        <v>128</v>
      </c>
      <c r="B23" s="23" t="s">
        <v>15</v>
      </c>
      <c r="C23" s="78">
        <v>1</v>
      </c>
      <c r="D23" s="78" t="s">
        <v>131</v>
      </c>
      <c r="E23" s="7">
        <v>41813</v>
      </c>
      <c r="F23" s="7">
        <v>41814</v>
      </c>
      <c r="IU23" s="21"/>
      <c r="IV23" s="21"/>
      <c r="IW23" s="21"/>
    </row>
    <row r="24" spans="1:257" ht="15">
      <c r="A24" s="11"/>
      <c r="B24" s="25" t="s">
        <v>16</v>
      </c>
      <c r="C24" s="79">
        <v>2</v>
      </c>
      <c r="D24" s="78" t="s">
        <v>131</v>
      </c>
      <c r="E24" s="7">
        <v>41813</v>
      </c>
      <c r="F24" s="7">
        <v>41814</v>
      </c>
      <c r="IU24" s="21"/>
      <c r="IV24" s="21"/>
      <c r="IW24" s="21"/>
    </row>
    <row r="25" spans="1:257" ht="15">
      <c r="A25" s="11"/>
      <c r="B25" s="25" t="s">
        <v>17</v>
      </c>
      <c r="C25" s="78">
        <v>2</v>
      </c>
      <c r="D25" s="78" t="s">
        <v>131</v>
      </c>
      <c r="E25" s="7">
        <v>41813</v>
      </c>
      <c r="F25" s="7">
        <v>41814</v>
      </c>
      <c r="IU25" s="21"/>
      <c r="IV25" s="21"/>
      <c r="IW25" s="21"/>
    </row>
    <row r="26" spans="1:257" ht="15">
      <c r="A26" s="11"/>
      <c r="B26" s="25" t="s">
        <v>18</v>
      </c>
      <c r="C26" s="78">
        <v>4</v>
      </c>
      <c r="D26" s="78" t="s">
        <v>131</v>
      </c>
      <c r="E26" s="7">
        <v>41814</v>
      </c>
      <c r="F26" s="7">
        <v>41815</v>
      </c>
      <c r="IU26" s="21"/>
      <c r="IV26" s="21"/>
      <c r="IW26" s="21"/>
    </row>
    <row r="27" spans="1:257" ht="15">
      <c r="A27" s="11" t="s">
        <v>128</v>
      </c>
      <c r="B27" s="26" t="s">
        <v>19</v>
      </c>
      <c r="C27" s="80">
        <v>4</v>
      </c>
      <c r="D27" s="78" t="s">
        <v>131</v>
      </c>
      <c r="E27" s="7">
        <v>41814</v>
      </c>
      <c r="F27" s="7">
        <v>41815</v>
      </c>
      <c r="IU27" s="21"/>
      <c r="IV27" s="21"/>
      <c r="IW27" s="21"/>
    </row>
    <row r="28" spans="1:257" ht="15">
      <c r="A28" s="15"/>
      <c r="B28" s="27" t="s">
        <v>114</v>
      </c>
      <c r="C28" s="84">
        <v>2</v>
      </c>
      <c r="D28" s="78" t="s">
        <v>131</v>
      </c>
      <c r="E28" s="7">
        <v>41815</v>
      </c>
      <c r="F28" s="7">
        <v>41815</v>
      </c>
      <c r="IU28" s="21"/>
      <c r="IV28" s="21"/>
      <c r="IW28" s="21"/>
    </row>
    <row r="29" spans="1:257" ht="15">
      <c r="A29" s="8"/>
      <c r="B29" s="28" t="s">
        <v>20</v>
      </c>
      <c r="C29" s="18"/>
      <c r="D29" s="18"/>
      <c r="E29" s="10"/>
      <c r="F29" s="10"/>
      <c r="IU29" s="21"/>
      <c r="IV29" s="21"/>
      <c r="IW29" s="21"/>
    </row>
    <row r="30" spans="1:257" ht="15">
      <c r="A30" s="11"/>
      <c r="B30" s="23" t="s">
        <v>21</v>
      </c>
      <c r="C30" s="78">
        <v>4</v>
      </c>
      <c r="D30" s="78" t="s">
        <v>131</v>
      </c>
      <c r="E30" s="7">
        <v>41815</v>
      </c>
      <c r="F30" s="7">
        <v>41816</v>
      </c>
      <c r="IU30" s="21"/>
      <c r="IV30" s="21"/>
      <c r="IW30" s="21"/>
    </row>
    <row r="31" spans="1:257" ht="15">
      <c r="A31" s="11"/>
      <c r="B31" s="23" t="s">
        <v>22</v>
      </c>
      <c r="C31" s="79">
        <v>8</v>
      </c>
      <c r="D31" s="79" t="s">
        <v>131</v>
      </c>
      <c r="E31" s="7">
        <v>41815</v>
      </c>
      <c r="F31" s="7">
        <v>41816</v>
      </c>
      <c r="IU31" s="21"/>
      <c r="IV31" s="21"/>
      <c r="IW31" s="21"/>
    </row>
    <row r="32" spans="1:257" ht="15">
      <c r="A32" s="8"/>
      <c r="B32" s="24" t="s">
        <v>23</v>
      </c>
      <c r="C32" s="17"/>
      <c r="D32" s="17"/>
      <c r="E32" s="10"/>
      <c r="F32" s="10"/>
      <c r="IU32" s="21"/>
      <c r="IV32" s="21"/>
      <c r="IW32" s="21"/>
    </row>
    <row r="33" spans="1:257" ht="15">
      <c r="A33" s="11"/>
      <c r="B33" s="23" t="s">
        <v>24</v>
      </c>
      <c r="C33" s="78">
        <v>1</v>
      </c>
      <c r="D33" s="78" t="s">
        <v>132</v>
      </c>
      <c r="E33" s="7">
        <v>41813</v>
      </c>
      <c r="F33" s="7">
        <v>41813</v>
      </c>
      <c r="IU33" s="21"/>
      <c r="IV33" s="21"/>
      <c r="IW33" s="21"/>
    </row>
    <row r="34" spans="1:257" ht="15">
      <c r="A34" s="11"/>
      <c r="B34" s="23" t="s">
        <v>25</v>
      </c>
      <c r="C34" s="78">
        <v>1</v>
      </c>
      <c r="D34" s="78" t="s">
        <v>132</v>
      </c>
      <c r="E34" s="7">
        <v>41813</v>
      </c>
      <c r="F34" s="7">
        <v>41813</v>
      </c>
      <c r="IU34" s="21"/>
      <c r="IV34" s="21"/>
      <c r="IW34" s="21"/>
    </row>
    <row r="35" spans="1:257" ht="15">
      <c r="A35" s="11"/>
      <c r="B35" s="23" t="s">
        <v>26</v>
      </c>
      <c r="C35" s="78">
        <v>1</v>
      </c>
      <c r="D35" s="78" t="s">
        <v>132</v>
      </c>
      <c r="E35" s="7">
        <v>41813</v>
      </c>
      <c r="F35" s="7">
        <v>41813</v>
      </c>
      <c r="IU35" s="21"/>
      <c r="IV35" s="21"/>
      <c r="IW35" s="21"/>
    </row>
    <row r="36" spans="1:257" ht="15">
      <c r="A36" s="11"/>
      <c r="B36" s="23" t="s">
        <v>27</v>
      </c>
      <c r="C36" s="78">
        <v>1</v>
      </c>
      <c r="D36" s="78" t="s">
        <v>132</v>
      </c>
      <c r="E36" s="7">
        <v>41813</v>
      </c>
      <c r="F36" s="7">
        <v>41813</v>
      </c>
      <c r="IU36" s="21"/>
      <c r="IV36" s="21"/>
      <c r="IW36" s="21"/>
    </row>
    <row r="37" spans="1:257" ht="15">
      <c r="A37" s="11"/>
      <c r="B37" s="25" t="s">
        <v>28</v>
      </c>
      <c r="C37" s="78">
        <v>4</v>
      </c>
      <c r="D37" s="78" t="s">
        <v>132</v>
      </c>
      <c r="E37" s="7">
        <v>41813</v>
      </c>
      <c r="F37" s="7">
        <v>41813</v>
      </c>
      <c r="IU37" s="21"/>
      <c r="IV37" s="21"/>
      <c r="IW37" s="21"/>
    </row>
    <row r="38" spans="1:257" ht="15">
      <c r="A38" s="11"/>
      <c r="B38" s="25" t="s">
        <v>29</v>
      </c>
      <c r="C38" s="78">
        <v>2</v>
      </c>
      <c r="D38" s="78" t="s">
        <v>132</v>
      </c>
      <c r="E38" s="7">
        <v>41813</v>
      </c>
      <c r="F38" s="7">
        <v>41813</v>
      </c>
      <c r="IU38" s="21"/>
      <c r="IV38" s="21"/>
      <c r="IW38" s="21"/>
    </row>
    <row r="39" spans="1:257" ht="15">
      <c r="A39" s="11"/>
      <c r="B39" s="25" t="s">
        <v>30</v>
      </c>
      <c r="C39" s="78">
        <v>2</v>
      </c>
      <c r="D39" s="78" t="s">
        <v>132</v>
      </c>
      <c r="E39" s="7">
        <v>41814</v>
      </c>
      <c r="F39" s="7">
        <v>41814</v>
      </c>
      <c r="IU39" s="21"/>
      <c r="IV39" s="21"/>
      <c r="IW39" s="21"/>
    </row>
    <row r="40" spans="1:257" ht="15">
      <c r="A40" s="11"/>
      <c r="B40" s="23" t="s">
        <v>31</v>
      </c>
      <c r="C40" s="78">
        <v>1</v>
      </c>
      <c r="D40" s="78" t="s">
        <v>132</v>
      </c>
      <c r="E40" s="7">
        <v>41814</v>
      </c>
      <c r="F40" s="7">
        <v>41814</v>
      </c>
      <c r="IU40" s="21"/>
      <c r="IV40" s="21"/>
      <c r="IW40" s="21"/>
    </row>
    <row r="41" spans="1:257" ht="15">
      <c r="A41" s="11"/>
      <c r="B41" s="25" t="s">
        <v>32</v>
      </c>
      <c r="C41" s="78">
        <v>2</v>
      </c>
      <c r="D41" s="78" t="s">
        <v>130</v>
      </c>
      <c r="E41" s="7">
        <v>41813</v>
      </c>
      <c r="F41" s="7">
        <v>41813</v>
      </c>
      <c r="IU41" s="21"/>
      <c r="IV41" s="21"/>
      <c r="IW41" s="21"/>
    </row>
    <row r="42" spans="1:257" ht="15">
      <c r="A42" s="11"/>
      <c r="B42" s="25" t="s">
        <v>33</v>
      </c>
      <c r="C42" s="78">
        <v>4</v>
      </c>
      <c r="D42" s="86" t="s">
        <v>132</v>
      </c>
      <c r="E42" s="7">
        <v>41814</v>
      </c>
      <c r="F42" s="7">
        <v>41814</v>
      </c>
      <c r="IU42" s="21"/>
      <c r="IV42" s="21"/>
      <c r="IW42" s="21"/>
    </row>
    <row r="43" spans="1:257" ht="15">
      <c r="A43" s="8"/>
      <c r="B43" s="24" t="s">
        <v>34</v>
      </c>
      <c r="C43" s="17"/>
      <c r="D43" s="17"/>
      <c r="E43" s="10"/>
      <c r="F43" s="10"/>
      <c r="IU43" s="21"/>
      <c r="IV43" s="21"/>
      <c r="IW43" s="21"/>
    </row>
    <row r="44" spans="1:257" ht="15">
      <c r="A44" s="11"/>
      <c r="B44" s="23" t="s">
        <v>35</v>
      </c>
      <c r="C44" s="78">
        <v>6</v>
      </c>
      <c r="D44" s="78" t="s">
        <v>130</v>
      </c>
      <c r="E44" s="7">
        <v>41817</v>
      </c>
      <c r="F44" s="7">
        <v>41817</v>
      </c>
      <c r="IU44" s="21"/>
      <c r="IV44" s="21"/>
      <c r="IW44" s="21"/>
    </row>
    <row r="45" spans="1:257" ht="15">
      <c r="A45" s="8"/>
      <c r="B45" s="24" t="s">
        <v>36</v>
      </c>
      <c r="C45" s="17"/>
      <c r="D45" s="17"/>
      <c r="E45" s="10"/>
      <c r="F45" s="10"/>
      <c r="IU45" s="21"/>
      <c r="IV45" s="21"/>
      <c r="IW45" s="21"/>
    </row>
    <row r="46" spans="1:257" ht="15">
      <c r="A46" s="11"/>
      <c r="B46" s="23" t="s">
        <v>37</v>
      </c>
      <c r="C46" s="78">
        <v>6</v>
      </c>
      <c r="D46" s="78" t="s">
        <v>130</v>
      </c>
      <c r="E46" s="7">
        <v>41817</v>
      </c>
      <c r="F46" s="7">
        <v>41817</v>
      </c>
      <c r="IU46" s="21"/>
      <c r="IV46" s="21"/>
      <c r="IW46" s="21"/>
    </row>
    <row r="47" spans="1:257" ht="15">
      <c r="A47" s="8"/>
      <c r="B47" s="24" t="s">
        <v>38</v>
      </c>
      <c r="C47" s="17"/>
      <c r="D47" s="17"/>
      <c r="E47" s="10"/>
      <c r="F47" s="10"/>
      <c r="IU47" s="21"/>
      <c r="IV47" s="21"/>
      <c r="IW47" s="21"/>
    </row>
    <row r="48" spans="1:257" ht="15">
      <c r="A48" s="11"/>
      <c r="B48" s="23" t="s">
        <v>39</v>
      </c>
      <c r="C48" s="78">
        <v>1</v>
      </c>
      <c r="D48" s="78" t="s">
        <v>130</v>
      </c>
      <c r="E48" s="7">
        <v>41814</v>
      </c>
      <c r="F48" s="7">
        <v>41814</v>
      </c>
      <c r="IU48" s="21"/>
      <c r="IV48" s="21"/>
      <c r="IW48" s="21"/>
    </row>
    <row r="49" spans="1:257" ht="15">
      <c r="A49" s="11"/>
      <c r="B49" s="23" t="s">
        <v>40</v>
      </c>
      <c r="C49" s="79">
        <v>2</v>
      </c>
      <c r="D49" s="78" t="s">
        <v>130</v>
      </c>
      <c r="E49" s="7">
        <v>41814</v>
      </c>
      <c r="F49" s="7">
        <v>41814</v>
      </c>
      <c r="IU49" s="21"/>
      <c r="IV49" s="21"/>
      <c r="IW49" s="21"/>
    </row>
    <row r="50" spans="1:257" ht="15">
      <c r="A50" s="11"/>
      <c r="B50" s="23" t="s">
        <v>41</v>
      </c>
      <c r="C50" s="78">
        <v>6</v>
      </c>
      <c r="D50" s="78" t="s">
        <v>130</v>
      </c>
      <c r="E50" s="7">
        <v>41814</v>
      </c>
      <c r="F50" s="7">
        <v>41814</v>
      </c>
      <c r="IU50" s="21"/>
      <c r="IV50" s="21"/>
      <c r="IW50" s="21"/>
    </row>
    <row r="51" spans="1:257" ht="15">
      <c r="A51" s="11"/>
      <c r="B51" s="23" t="s">
        <v>42</v>
      </c>
      <c r="C51" s="79">
        <v>8</v>
      </c>
      <c r="D51" s="78" t="s">
        <v>130</v>
      </c>
      <c r="E51" s="7">
        <v>41815</v>
      </c>
      <c r="F51" s="7">
        <v>41815</v>
      </c>
      <c r="IU51" s="21"/>
      <c r="IV51" s="21"/>
      <c r="IW51" s="21"/>
    </row>
    <row r="52" spans="1:257" ht="15">
      <c r="A52" s="11"/>
      <c r="B52" s="23" t="s">
        <v>44</v>
      </c>
      <c r="C52" s="79">
        <v>2</v>
      </c>
      <c r="D52" s="78" t="s">
        <v>130</v>
      </c>
      <c r="E52" s="7">
        <v>41816</v>
      </c>
      <c r="F52" s="7">
        <v>41816</v>
      </c>
      <c r="IU52" s="21"/>
      <c r="IV52" s="21"/>
      <c r="IW52" s="21"/>
    </row>
    <row r="53" spans="1:257" ht="15">
      <c r="A53" s="11"/>
      <c r="B53" s="23" t="s">
        <v>45</v>
      </c>
      <c r="C53" s="79">
        <v>1</v>
      </c>
      <c r="D53" s="78" t="s">
        <v>130</v>
      </c>
      <c r="E53" s="7">
        <v>41816</v>
      </c>
      <c r="F53" s="7">
        <v>41816</v>
      </c>
      <c r="IU53" s="21"/>
      <c r="IV53" s="21"/>
      <c r="IW53" s="21"/>
    </row>
    <row r="54" spans="1:257" ht="15">
      <c r="A54" s="11"/>
      <c r="B54" s="23" t="s">
        <v>46</v>
      </c>
      <c r="C54" s="79">
        <v>1</v>
      </c>
      <c r="D54" s="78" t="s">
        <v>130</v>
      </c>
      <c r="E54" s="7">
        <v>41816</v>
      </c>
      <c r="F54" s="7">
        <v>41816</v>
      </c>
      <c r="IU54" s="21"/>
      <c r="IV54" s="21"/>
      <c r="IW54" s="21"/>
    </row>
    <row r="55" spans="1:257" ht="15">
      <c r="A55" s="8"/>
      <c r="B55" s="24" t="s">
        <v>47</v>
      </c>
      <c r="C55" s="17"/>
      <c r="D55" s="17"/>
      <c r="E55" s="10"/>
      <c r="F55" s="10"/>
      <c r="IU55" s="21"/>
      <c r="IV55" s="21"/>
      <c r="IW55" s="21"/>
    </row>
    <row r="56" spans="1:257" ht="15">
      <c r="A56" s="11"/>
      <c r="B56" s="23" t="s">
        <v>48</v>
      </c>
      <c r="C56" s="78">
        <v>12</v>
      </c>
      <c r="D56" s="86" t="s">
        <v>132</v>
      </c>
      <c r="E56" s="7">
        <v>41815</v>
      </c>
      <c r="F56" s="7">
        <v>41815</v>
      </c>
      <c r="IU56" s="21"/>
      <c r="IV56" s="21"/>
      <c r="IW56" s="21"/>
    </row>
    <row r="57" spans="1:257" ht="15">
      <c r="A57" s="11"/>
      <c r="B57" s="23" t="s">
        <v>49</v>
      </c>
      <c r="C57" s="78">
        <v>8</v>
      </c>
      <c r="D57" s="86" t="s">
        <v>132</v>
      </c>
      <c r="E57" s="7">
        <v>41816</v>
      </c>
      <c r="F57" s="7">
        <v>41817</v>
      </c>
      <c r="IU57" s="21"/>
      <c r="IV57" s="21"/>
      <c r="IW57" s="21"/>
    </row>
    <row r="58" spans="1:257" ht="15">
      <c r="A58" s="11"/>
      <c r="B58" s="23" t="s">
        <v>50</v>
      </c>
      <c r="C58" s="79">
        <v>2</v>
      </c>
      <c r="D58" s="86" t="s">
        <v>132</v>
      </c>
      <c r="E58" s="7">
        <v>41817</v>
      </c>
      <c r="F58" s="7">
        <v>41817</v>
      </c>
      <c r="IU58" s="21"/>
      <c r="IV58" s="21"/>
      <c r="IW58" s="21"/>
    </row>
    <row r="59" spans="1:257" ht="15">
      <c r="A59" s="11"/>
      <c r="B59" s="23" t="s">
        <v>51</v>
      </c>
      <c r="C59" s="78">
        <v>4</v>
      </c>
      <c r="D59" s="78" t="s">
        <v>131</v>
      </c>
      <c r="E59" s="7">
        <v>41816</v>
      </c>
      <c r="F59" s="7">
        <v>41817</v>
      </c>
      <c r="IU59" s="21"/>
      <c r="IV59" s="21"/>
      <c r="IW59" s="21"/>
    </row>
    <row r="60" spans="1:257" ht="15">
      <c r="A60" s="11"/>
      <c r="B60" s="23" t="s">
        <v>52</v>
      </c>
      <c r="C60" s="79">
        <v>2</v>
      </c>
      <c r="D60" s="78" t="s">
        <v>131</v>
      </c>
      <c r="E60" s="7">
        <v>41816</v>
      </c>
      <c r="F60" s="7">
        <v>41817</v>
      </c>
      <c r="IU60" s="21"/>
      <c r="IV60" s="21"/>
      <c r="IW60" s="21"/>
    </row>
    <row r="61" spans="1:257" ht="15">
      <c r="A61" s="11"/>
      <c r="B61" s="23" t="s">
        <v>53</v>
      </c>
      <c r="C61" s="79">
        <v>6</v>
      </c>
      <c r="D61" s="79" t="s">
        <v>132</v>
      </c>
      <c r="E61" s="7">
        <v>41820</v>
      </c>
      <c r="F61" s="7">
        <v>41820</v>
      </c>
      <c r="IU61" s="21"/>
      <c r="IV61" s="21"/>
      <c r="IW61" s="21"/>
    </row>
    <row r="62" spans="1:257" ht="15">
      <c r="A62" s="11"/>
      <c r="B62" s="23" t="s">
        <v>54</v>
      </c>
      <c r="C62" s="79">
        <v>4</v>
      </c>
      <c r="D62" s="79" t="s">
        <v>131</v>
      </c>
      <c r="E62" s="7">
        <v>41816</v>
      </c>
      <c r="F62" s="7">
        <v>41817</v>
      </c>
      <c r="IU62" s="21"/>
      <c r="IV62" s="21"/>
      <c r="IW62" s="21"/>
    </row>
    <row r="63" spans="1:257" ht="15">
      <c r="A63" s="11"/>
      <c r="B63" s="23" t="s">
        <v>55</v>
      </c>
      <c r="C63" s="79">
        <v>8</v>
      </c>
      <c r="D63" s="79" t="s">
        <v>131</v>
      </c>
      <c r="E63" s="7">
        <v>41816</v>
      </c>
      <c r="F63" s="7">
        <v>41817</v>
      </c>
      <c r="IU63" s="21"/>
      <c r="IV63" s="21"/>
      <c r="IW63" s="21"/>
    </row>
    <row r="64" spans="1:257" ht="15">
      <c r="A64" s="11"/>
      <c r="B64" s="23" t="s">
        <v>56</v>
      </c>
      <c r="C64" s="79">
        <v>12</v>
      </c>
      <c r="D64" s="79" t="s">
        <v>130</v>
      </c>
      <c r="E64" s="7">
        <v>41820</v>
      </c>
      <c r="F64" s="7">
        <v>41820</v>
      </c>
      <c r="IU64" s="21"/>
      <c r="IV64" s="21"/>
      <c r="IW64" s="21"/>
    </row>
    <row r="65" spans="1:257" ht="15">
      <c r="A65" s="4" t="s">
        <v>66</v>
      </c>
      <c r="B65" s="22"/>
      <c r="C65" s="74">
        <f>SUM(C66:C68)</f>
        <v>44</v>
      </c>
      <c r="D65" s="74"/>
      <c r="E65" s="5"/>
      <c r="F65" s="5"/>
      <c r="IU65" s="21"/>
      <c r="IV65" s="21"/>
      <c r="IW65" s="21"/>
    </row>
    <row r="66" spans="1:257" ht="15">
      <c r="A66" s="6"/>
      <c r="B66" s="23" t="s">
        <v>67</v>
      </c>
      <c r="C66" s="19">
        <v>4</v>
      </c>
      <c r="D66" s="19"/>
      <c r="E66" s="7"/>
      <c r="F66" s="7"/>
      <c r="IU66" s="21"/>
      <c r="IV66" s="21"/>
      <c r="IW66" s="21"/>
    </row>
    <row r="67" spans="1:257" ht="15">
      <c r="A67" s="6"/>
      <c r="B67" s="23" t="s">
        <v>68</v>
      </c>
      <c r="C67" s="19">
        <v>32</v>
      </c>
      <c r="D67" s="19"/>
      <c r="E67" s="7"/>
      <c r="F67" s="7"/>
      <c r="IU67" s="21"/>
      <c r="IV67" s="21"/>
      <c r="IW67" s="21"/>
    </row>
    <row r="68" spans="1:257" ht="15">
      <c r="A68" s="6"/>
      <c r="B68" s="23" t="s">
        <v>69</v>
      </c>
      <c r="C68" s="19">
        <v>8</v>
      </c>
      <c r="D68" s="19"/>
      <c r="E68" s="7"/>
      <c r="F68" s="7"/>
      <c r="IU68" s="21"/>
      <c r="IV68" s="21"/>
      <c r="IW68" s="21"/>
    </row>
    <row r="69" spans="1:257" ht="15">
      <c r="A69" s="4" t="s">
        <v>70</v>
      </c>
      <c r="B69" s="22"/>
      <c r="C69" s="74">
        <v>19</v>
      </c>
      <c r="D69" s="74"/>
      <c r="E69" s="5"/>
      <c r="F69" s="5"/>
      <c r="IU69" s="21"/>
      <c r="IV69" s="21"/>
      <c r="IW69" s="21"/>
    </row>
    <row r="70" spans="1:257" ht="15">
      <c r="A70" s="3" t="s">
        <v>71</v>
      </c>
      <c r="B70" s="12"/>
      <c r="C70" s="12">
        <f>SUM(C12,C15,C65,C69)</f>
        <v>216</v>
      </c>
      <c r="D70" s="12"/>
      <c r="E70" s="12"/>
      <c r="F70" s="12"/>
      <c r="IU70" s="21"/>
      <c r="IV70" s="21"/>
      <c r="IW70" s="21"/>
    </row>
  </sheetData>
  <phoneticPr fontId="14" type="noConversion"/>
  <pageMargins left="0.75" right="0.75" top="1" bottom="1" header="0.5" footer="0.5"/>
  <pageSetup scale="80" fitToHeight="2" orientation="portrait" r:id="rId1"/>
  <headerFooter>
    <oddFooter>&amp;L&amp;"Helvetica,Regular"&amp;12&amp;K000000	&amp;P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 enableFormatConditionsCalculation="0"/>
  <dimension ref="A1:IV36"/>
  <sheetViews>
    <sheetView showGridLines="0" view="pageBreakPreview" topLeftCell="A22" workbookViewId="0">
      <selection activeCell="C34" sqref="C34"/>
    </sheetView>
  </sheetViews>
  <sheetFormatPr defaultColWidth="8.59765625" defaultRowHeight="12.75" customHeight="1"/>
  <cols>
    <col min="1" max="1" width="4.59765625" style="13" customWidth="1"/>
    <col min="2" max="2" width="12.19921875" style="13" customWidth="1"/>
    <col min="3" max="3" width="22.09765625" style="13" customWidth="1"/>
    <col min="4" max="4" width="25.8984375" style="13" customWidth="1"/>
    <col min="5" max="5" width="7.69921875" style="13" hidden="1" customWidth="1"/>
    <col min="6" max="6" width="11.3984375" style="13" hidden="1" customWidth="1"/>
    <col min="7" max="256" width="8.59765625" style="13" customWidth="1"/>
  </cols>
  <sheetData>
    <row r="1" spans="1:6" ht="12.75" customHeight="1">
      <c r="A1" s="40" t="s">
        <v>72</v>
      </c>
      <c r="B1" s="29"/>
      <c r="C1" s="29"/>
      <c r="D1" s="29"/>
      <c r="E1" s="39"/>
      <c r="F1" s="2"/>
    </row>
    <row r="2" spans="1:6" ht="12.75" customHeight="1">
      <c r="A2" s="41" t="s">
        <v>73</v>
      </c>
      <c r="B2" s="29"/>
      <c r="C2" s="29"/>
      <c r="D2" s="29"/>
      <c r="E2" s="39"/>
      <c r="F2" s="2"/>
    </row>
    <row r="3" spans="1:6" ht="12.75" customHeight="1">
      <c r="A3" s="41" t="s">
        <v>74</v>
      </c>
      <c r="B3" s="29"/>
      <c r="C3" s="29"/>
      <c r="D3" s="29"/>
      <c r="E3" s="39"/>
      <c r="F3" s="2"/>
    </row>
    <row r="4" spans="1:6" ht="12.75" customHeight="1">
      <c r="A4" s="41" t="s">
        <v>75</v>
      </c>
      <c r="B4" s="29"/>
      <c r="C4" s="29"/>
      <c r="D4" s="29"/>
      <c r="E4" s="39"/>
      <c r="F4" s="2"/>
    </row>
    <row r="5" spans="1:6" ht="12.75" customHeight="1">
      <c r="A5" s="41" t="s">
        <v>76</v>
      </c>
      <c r="B5" s="29"/>
      <c r="C5" s="29"/>
      <c r="D5" s="29"/>
      <c r="E5" s="39"/>
      <c r="F5" s="2"/>
    </row>
    <row r="6" spans="1:6" ht="18" customHeight="1">
      <c r="A6" s="29"/>
      <c r="B6" s="29"/>
      <c r="C6" s="29"/>
      <c r="D6" s="29"/>
      <c r="E6" s="39"/>
      <c r="F6" s="2"/>
    </row>
    <row r="7" spans="1:6" ht="12.75" customHeight="1">
      <c r="A7" s="40" t="s">
        <v>77</v>
      </c>
      <c r="B7" s="29"/>
      <c r="C7" s="29"/>
      <c r="D7" s="29"/>
      <c r="E7" s="39"/>
      <c r="F7" s="2"/>
    </row>
    <row r="8" spans="1:6" ht="12.75" customHeight="1">
      <c r="A8" s="41" t="s">
        <v>78</v>
      </c>
      <c r="B8" s="29"/>
      <c r="C8" s="29"/>
      <c r="D8" s="29"/>
      <c r="E8" s="39"/>
      <c r="F8" s="2"/>
    </row>
    <row r="9" spans="1:6" ht="12.75" customHeight="1">
      <c r="A9" s="41" t="s">
        <v>79</v>
      </c>
      <c r="B9" s="29"/>
      <c r="C9" s="29"/>
      <c r="D9" s="29"/>
      <c r="E9" s="39"/>
      <c r="F9" s="2"/>
    </row>
    <row r="10" spans="1:6" ht="18" customHeight="1">
      <c r="A10" s="29"/>
      <c r="B10" s="29"/>
      <c r="C10" s="29"/>
      <c r="D10" s="29"/>
      <c r="E10" s="39"/>
      <c r="F10" s="2"/>
    </row>
    <row r="11" spans="1:6" ht="12.75" customHeight="1">
      <c r="A11" s="40" t="s">
        <v>80</v>
      </c>
      <c r="B11" s="29"/>
      <c r="C11" s="29"/>
      <c r="D11" s="29"/>
      <c r="E11" s="39"/>
      <c r="F11" s="2"/>
    </row>
    <row r="12" spans="1:6" ht="12.75" customHeight="1">
      <c r="A12" s="41" t="s">
        <v>81</v>
      </c>
      <c r="B12" s="29"/>
      <c r="C12" s="29"/>
      <c r="D12" s="29"/>
      <c r="E12" s="39"/>
      <c r="F12" s="2"/>
    </row>
    <row r="13" spans="1:6" ht="12.75" customHeight="1">
      <c r="A13" s="41" t="s">
        <v>82</v>
      </c>
      <c r="B13" s="29"/>
      <c r="C13" s="29"/>
      <c r="D13" s="29"/>
      <c r="E13" s="39"/>
      <c r="F13" s="2"/>
    </row>
    <row r="14" spans="1:6" ht="12.75" customHeight="1">
      <c r="A14" s="41" t="s">
        <v>83</v>
      </c>
      <c r="B14" s="29"/>
      <c r="C14" s="29"/>
      <c r="D14" s="29"/>
      <c r="E14" s="39"/>
      <c r="F14" s="2"/>
    </row>
    <row r="15" spans="1:6" ht="18" customHeight="1">
      <c r="A15" s="29"/>
      <c r="B15" s="29"/>
      <c r="C15" s="29"/>
      <c r="D15" s="29"/>
      <c r="E15" s="39"/>
      <c r="F15" s="2"/>
    </row>
    <row r="16" spans="1:6" ht="12.75" customHeight="1">
      <c r="A16" s="40" t="s">
        <v>84</v>
      </c>
      <c r="B16" s="29"/>
      <c r="C16" s="29"/>
      <c r="D16" s="29"/>
      <c r="E16" s="39"/>
      <c r="F16" s="2"/>
    </row>
    <row r="17" spans="1:6" ht="12.75" customHeight="1">
      <c r="A17" s="41" t="s">
        <v>85</v>
      </c>
      <c r="B17" s="29"/>
      <c r="C17" s="29"/>
      <c r="D17" s="29"/>
      <c r="E17" s="39"/>
      <c r="F17" s="2"/>
    </row>
    <row r="18" spans="1:6" ht="12.75" customHeight="1">
      <c r="A18" s="41" t="s">
        <v>86</v>
      </c>
      <c r="B18" s="29"/>
      <c r="C18" s="29"/>
      <c r="D18" s="29"/>
      <c r="E18" s="39"/>
      <c r="F18" s="2"/>
    </row>
    <row r="19" spans="1:6" ht="12.75" customHeight="1">
      <c r="A19" s="41" t="s">
        <v>87</v>
      </c>
      <c r="B19" s="29"/>
      <c r="C19" s="29"/>
      <c r="D19" s="29"/>
      <c r="E19" s="39"/>
      <c r="F19" s="2"/>
    </row>
    <row r="20" spans="1:6" ht="12.75" customHeight="1">
      <c r="A20" s="41" t="s">
        <v>88</v>
      </c>
      <c r="B20" s="29"/>
      <c r="C20" s="29"/>
      <c r="D20" s="29"/>
      <c r="E20" s="39"/>
      <c r="F20" s="2"/>
    </row>
    <row r="21" spans="1:6" ht="12.75" customHeight="1">
      <c r="A21" s="42"/>
      <c r="B21" s="29"/>
      <c r="C21" s="29"/>
      <c r="D21" s="29"/>
      <c r="E21" s="39"/>
      <c r="F21" s="2"/>
    </row>
    <row r="22" spans="1:6" ht="12.75" customHeight="1">
      <c r="A22" s="43" t="s">
        <v>89</v>
      </c>
      <c r="B22" s="40" t="s">
        <v>90</v>
      </c>
      <c r="C22" s="29"/>
      <c r="D22" s="29"/>
      <c r="E22" s="39"/>
      <c r="F22" s="2"/>
    </row>
    <row r="23" spans="1:6" ht="12.75" customHeight="1">
      <c r="A23" s="41" t="s">
        <v>91</v>
      </c>
      <c r="B23" s="41" t="s">
        <v>92</v>
      </c>
      <c r="C23" s="29"/>
      <c r="D23" s="29"/>
      <c r="E23" s="39"/>
      <c r="F23" s="2"/>
    </row>
    <row r="24" spans="1:6" ht="12.75" customHeight="1">
      <c r="A24" s="41" t="s">
        <v>93</v>
      </c>
      <c r="B24" s="41" t="s">
        <v>94</v>
      </c>
      <c r="C24" s="29"/>
      <c r="D24" s="29"/>
      <c r="E24" s="39"/>
      <c r="F24" s="2"/>
    </row>
    <row r="25" spans="1:6" ht="12.75" customHeight="1">
      <c r="A25" s="41" t="s">
        <v>95</v>
      </c>
      <c r="B25" s="41" t="s">
        <v>96</v>
      </c>
      <c r="C25" s="29"/>
      <c r="D25" s="29"/>
      <c r="E25" s="39"/>
      <c r="F25" s="2"/>
    </row>
    <row r="26" spans="1:6" ht="12.75" customHeight="1">
      <c r="A26" s="41" t="s">
        <v>97</v>
      </c>
      <c r="B26" s="41" t="s">
        <v>98</v>
      </c>
      <c r="C26" s="29"/>
      <c r="D26" s="29"/>
      <c r="E26" s="39"/>
      <c r="F26" s="2"/>
    </row>
    <row r="27" spans="1:6" ht="18" customHeight="1">
      <c r="A27" s="29"/>
      <c r="B27" s="29"/>
      <c r="C27" s="29"/>
      <c r="D27" s="29"/>
      <c r="E27" s="39"/>
      <c r="F27" s="2"/>
    </row>
    <row r="28" spans="1:6" ht="31.5" customHeight="1">
      <c r="A28" s="29"/>
      <c r="B28" s="45"/>
      <c r="C28" s="46" t="s">
        <v>99</v>
      </c>
      <c r="D28" s="46" t="s">
        <v>100</v>
      </c>
      <c r="E28" s="44"/>
      <c r="F28" s="14"/>
    </row>
    <row r="29" spans="1:6" ht="18" customHeight="1">
      <c r="A29" s="29"/>
      <c r="B29" s="47" t="s">
        <v>101</v>
      </c>
      <c r="C29" s="48" t="s">
        <v>102</v>
      </c>
      <c r="D29" s="48" t="s">
        <v>102</v>
      </c>
      <c r="E29" s="39"/>
      <c r="F29" s="2"/>
    </row>
    <row r="30" spans="1:6" ht="18" customHeight="1">
      <c r="A30" s="29"/>
      <c r="B30" s="47" t="s">
        <v>103</v>
      </c>
      <c r="C30" s="49" t="s">
        <v>104</v>
      </c>
      <c r="D30" s="49" t="s">
        <v>104</v>
      </c>
      <c r="E30" s="39"/>
      <c r="F30" s="2"/>
    </row>
    <row r="31" spans="1:6" ht="18" customHeight="1">
      <c r="A31" s="29"/>
      <c r="B31" s="47" t="s">
        <v>105</v>
      </c>
      <c r="C31" s="48" t="s">
        <v>102</v>
      </c>
      <c r="D31" s="48" t="s">
        <v>102</v>
      </c>
      <c r="E31" s="39"/>
      <c r="F31" s="2"/>
    </row>
    <row r="32" spans="1:6" ht="18" customHeight="1">
      <c r="A32" s="29"/>
      <c r="B32" s="47" t="s">
        <v>106</v>
      </c>
      <c r="C32" s="49" t="s">
        <v>104</v>
      </c>
      <c r="D32" s="49" t="s">
        <v>104</v>
      </c>
      <c r="E32" s="39"/>
      <c r="F32" s="2"/>
    </row>
    <row r="33" spans="1:6" ht="18" customHeight="1">
      <c r="A33" s="29"/>
      <c r="B33" s="47" t="s">
        <v>107</v>
      </c>
      <c r="C33" s="49" t="s">
        <v>108</v>
      </c>
      <c r="D33" s="48" t="s">
        <v>102</v>
      </c>
      <c r="E33" s="39"/>
      <c r="F33" s="2"/>
    </row>
    <row r="34" spans="1:6" ht="18" customHeight="1">
      <c r="A34" s="29"/>
      <c r="B34" s="47" t="s">
        <v>109</v>
      </c>
      <c r="C34" s="49" t="s">
        <v>108</v>
      </c>
      <c r="D34" s="49" t="s">
        <v>104</v>
      </c>
      <c r="E34" s="39"/>
      <c r="F34" s="2"/>
    </row>
    <row r="35" spans="1:6" ht="18" customHeight="1">
      <c r="A35" s="29"/>
      <c r="B35" s="47" t="s">
        <v>110</v>
      </c>
      <c r="C35" s="49" t="s">
        <v>104</v>
      </c>
      <c r="D35" s="49" t="s">
        <v>108</v>
      </c>
      <c r="E35" s="39"/>
      <c r="F35" s="2"/>
    </row>
    <row r="36" spans="1:6" ht="18" customHeight="1">
      <c r="A36" s="29"/>
      <c r="B36" s="47" t="s">
        <v>111</v>
      </c>
      <c r="C36" s="48" t="s">
        <v>102</v>
      </c>
      <c r="D36" s="49" t="s">
        <v>108</v>
      </c>
      <c r="E36" s="39"/>
      <c r="F36" s="2"/>
    </row>
  </sheetData>
  <phoneticPr fontId="14" type="noConversion"/>
  <pageMargins left="0.75" right="0.75" top="1" bottom="1" header="0.5" footer="0.5"/>
  <pageSetup orientation="portrait" r:id="rId1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IW70"/>
  <sheetViews>
    <sheetView workbookViewId="0">
      <selection sqref="A1:XFD1048576"/>
    </sheetView>
  </sheetViews>
  <sheetFormatPr defaultColWidth="8.59765625" defaultRowHeight="14.1" customHeight="1"/>
  <cols>
    <col min="1" max="1" width="8.69921875" style="20" customWidth="1"/>
    <col min="2" max="2" width="25.3984375" style="20" customWidth="1"/>
    <col min="3" max="4" width="9.3984375" style="83" customWidth="1"/>
    <col min="5" max="6" width="14.3984375" style="20" customWidth="1"/>
    <col min="7" max="7" width="11.09765625" style="20" customWidth="1"/>
    <col min="8" max="8" width="7.19921875" style="20" customWidth="1"/>
    <col min="9" max="257" width="8.59765625" style="20" customWidth="1"/>
    <col min="258" max="16384" width="8.59765625" style="21"/>
  </cols>
  <sheetData>
    <row r="1" spans="1:257" ht="18" customHeight="1">
      <c r="A1" s="29"/>
      <c r="B1" s="29"/>
      <c r="C1" s="31"/>
      <c r="D1" s="31"/>
      <c r="E1" s="29"/>
      <c r="F1" s="29"/>
      <c r="IU1" s="21"/>
      <c r="IV1" s="21"/>
      <c r="IW1" s="21"/>
    </row>
    <row r="2" spans="1:257" ht="18" customHeight="1">
      <c r="A2" s="29"/>
      <c r="B2" s="29"/>
      <c r="C2" s="75" t="s">
        <v>121</v>
      </c>
      <c r="D2" s="75"/>
      <c r="E2" s="30" t="s">
        <v>0</v>
      </c>
      <c r="F2" s="29"/>
      <c r="IU2" s="21"/>
      <c r="IV2" s="21"/>
      <c r="IW2" s="21"/>
    </row>
    <row r="3" spans="1:257" ht="18" customHeight="1">
      <c r="A3" s="29"/>
      <c r="B3" s="29"/>
      <c r="C3" s="31"/>
      <c r="D3" s="31"/>
      <c r="E3" s="32" t="s">
        <v>1</v>
      </c>
      <c r="F3" s="29"/>
      <c r="IU3" s="21"/>
      <c r="IV3" s="21"/>
      <c r="IW3" s="21"/>
    </row>
    <row r="4" spans="1:257" ht="18" customHeight="1">
      <c r="A4" s="29"/>
      <c r="B4" s="29"/>
      <c r="C4" s="75" t="s">
        <v>120</v>
      </c>
      <c r="D4" s="75"/>
      <c r="E4" s="30" t="s">
        <v>117</v>
      </c>
      <c r="F4" s="29"/>
      <c r="IU4" s="21"/>
      <c r="IV4" s="21"/>
      <c r="IW4" s="21"/>
    </row>
    <row r="5" spans="1:257" ht="18" customHeight="1">
      <c r="A5" s="29"/>
      <c r="B5" s="29"/>
      <c r="C5" s="75" t="s">
        <v>119</v>
      </c>
      <c r="D5" s="75"/>
      <c r="E5" s="30" t="s">
        <v>118</v>
      </c>
      <c r="F5" s="29"/>
      <c r="IU5" s="21"/>
      <c r="IV5" s="21"/>
      <c r="IW5" s="21"/>
    </row>
    <row r="6" spans="1:257" ht="18" customHeight="1">
      <c r="A6" s="29"/>
      <c r="B6" s="29"/>
      <c r="C6" s="31"/>
      <c r="D6" s="31"/>
      <c r="E6" s="33"/>
      <c r="F6" s="29"/>
      <c r="IU6" s="21"/>
      <c r="IV6" s="21"/>
      <c r="IW6" s="21"/>
    </row>
    <row r="7" spans="1:257" ht="18" customHeight="1">
      <c r="A7" s="29"/>
      <c r="B7" s="29"/>
      <c r="C7" s="76" t="s">
        <v>116</v>
      </c>
      <c r="D7" s="76"/>
      <c r="E7" s="31"/>
      <c r="F7" s="29"/>
      <c r="IU7" s="21"/>
      <c r="IV7" s="21"/>
      <c r="IW7" s="21"/>
    </row>
    <row r="8" spans="1:257" ht="18" customHeight="1">
      <c r="A8" s="34"/>
      <c r="B8" s="29"/>
      <c r="C8" s="31"/>
      <c r="D8" s="31"/>
      <c r="E8" s="29"/>
      <c r="F8" s="29"/>
      <c r="IU8" s="21"/>
      <c r="IV8" s="21"/>
      <c r="IW8" s="21"/>
    </row>
    <row r="9" spans="1:257" ht="18" customHeight="1">
      <c r="A9" s="35"/>
      <c r="B9" s="29"/>
      <c r="C9" s="31"/>
      <c r="D9" s="31"/>
      <c r="E9" s="29"/>
      <c r="F9" s="29"/>
      <c r="IU9" s="21"/>
      <c r="IV9" s="21"/>
      <c r="IW9" s="21"/>
    </row>
    <row r="10" spans="1:257" ht="27.95" customHeight="1">
      <c r="A10" s="36" t="s">
        <v>57</v>
      </c>
      <c r="B10" s="29"/>
      <c r="C10" s="31"/>
      <c r="D10" s="31"/>
      <c r="E10" s="29"/>
      <c r="F10" s="29"/>
      <c r="IU10" s="21"/>
      <c r="IV10" s="21"/>
      <c r="IW10" s="21"/>
    </row>
    <row r="11" spans="1:257" ht="15">
      <c r="A11" s="37" t="s">
        <v>58</v>
      </c>
      <c r="B11" s="37" t="s">
        <v>59</v>
      </c>
      <c r="C11" s="77" t="s">
        <v>115</v>
      </c>
      <c r="D11" s="77" t="s">
        <v>129</v>
      </c>
      <c r="E11" s="38" t="s">
        <v>60</v>
      </c>
      <c r="F11" s="37" t="s">
        <v>61</v>
      </c>
      <c r="IU11" s="21"/>
      <c r="IV11" s="21"/>
      <c r="IW11" s="21"/>
    </row>
    <row r="12" spans="1:257" ht="15">
      <c r="A12" s="4" t="s">
        <v>62</v>
      </c>
      <c r="B12" s="22"/>
      <c r="C12" s="74">
        <f>SUM(C13:C14)</f>
        <v>4</v>
      </c>
      <c r="D12" s="74">
        <f>SUM(D13:D14)</f>
        <v>4</v>
      </c>
      <c r="E12" s="5"/>
      <c r="F12" s="5"/>
      <c r="IU12" s="21"/>
      <c r="IV12" s="21"/>
      <c r="IW12" s="21"/>
    </row>
    <row r="13" spans="1:257" ht="15">
      <c r="A13" s="6"/>
      <c r="B13" s="23" t="s">
        <v>63</v>
      </c>
      <c r="C13" s="78">
        <v>2</v>
      </c>
      <c r="D13" s="78">
        <v>2</v>
      </c>
      <c r="E13" s="7"/>
      <c r="F13" s="7"/>
      <c r="IU13" s="21"/>
      <c r="IV13" s="21"/>
      <c r="IW13" s="21"/>
    </row>
    <row r="14" spans="1:257" ht="15">
      <c r="A14" s="6"/>
      <c r="B14" s="23" t="s">
        <v>64</v>
      </c>
      <c r="C14" s="78">
        <v>2</v>
      </c>
      <c r="D14" s="78">
        <v>2</v>
      </c>
      <c r="E14" s="7"/>
      <c r="F14" s="7"/>
      <c r="IU14" s="21"/>
      <c r="IV14" s="21"/>
      <c r="IW14" s="21"/>
    </row>
    <row r="15" spans="1:257" ht="15">
      <c r="A15" s="4" t="s">
        <v>65</v>
      </c>
      <c r="B15" s="22"/>
      <c r="C15" s="74">
        <f>SUM(C17:C64)</f>
        <v>149</v>
      </c>
      <c r="D15" s="74">
        <f>SUM(D17:D64)</f>
        <v>171</v>
      </c>
      <c r="E15" s="5"/>
      <c r="F15" s="5"/>
      <c r="IU15" s="21"/>
      <c r="IV15" s="21"/>
      <c r="IW15" s="21"/>
    </row>
    <row r="16" spans="1:257" ht="15">
      <c r="A16" s="8"/>
      <c r="B16" s="24" t="s">
        <v>8</v>
      </c>
      <c r="C16" s="9"/>
      <c r="D16" s="9"/>
      <c r="E16" s="10"/>
      <c r="F16" s="10"/>
      <c r="IU16" s="21"/>
      <c r="IV16" s="21"/>
      <c r="IW16" s="21"/>
    </row>
    <row r="17" spans="1:257" ht="15">
      <c r="A17" s="11"/>
      <c r="B17" s="85" t="s">
        <v>9</v>
      </c>
      <c r="C17" s="78">
        <v>1</v>
      </c>
      <c r="D17" s="78">
        <v>1</v>
      </c>
      <c r="E17" s="7"/>
      <c r="F17" s="7"/>
      <c r="IU17" s="21"/>
      <c r="IV17" s="21"/>
      <c r="IW17" s="21"/>
    </row>
    <row r="18" spans="1:257" ht="15">
      <c r="A18" s="11"/>
      <c r="B18" s="23" t="s">
        <v>11</v>
      </c>
      <c r="C18" s="79">
        <v>2</v>
      </c>
      <c r="D18" s="79">
        <v>2</v>
      </c>
      <c r="E18" s="7"/>
      <c r="F18" s="7"/>
      <c r="IU18" s="21"/>
      <c r="IV18" s="21"/>
      <c r="IW18" s="21"/>
    </row>
    <row r="19" spans="1:257" ht="15">
      <c r="A19" s="11"/>
      <c r="B19" s="85" t="s">
        <v>12</v>
      </c>
      <c r="C19" s="78">
        <v>1</v>
      </c>
      <c r="D19" s="78">
        <v>1</v>
      </c>
      <c r="E19" s="7"/>
      <c r="F19" s="7"/>
      <c r="IU19" s="21"/>
      <c r="IV19" s="21"/>
      <c r="IW19" s="21"/>
    </row>
    <row r="20" spans="1:257" ht="30">
      <c r="A20" s="11"/>
      <c r="B20" s="25" t="s">
        <v>113</v>
      </c>
      <c r="C20" s="78">
        <v>4</v>
      </c>
      <c r="D20" s="78">
        <v>4</v>
      </c>
      <c r="E20" s="7"/>
      <c r="F20" s="7"/>
      <c r="IU20" s="21"/>
      <c r="IV20" s="21"/>
      <c r="IW20" s="21"/>
    </row>
    <row r="21" spans="1:257" ht="15">
      <c r="A21" s="11"/>
      <c r="B21" s="85" t="s">
        <v>112</v>
      </c>
      <c r="C21" s="79">
        <v>4</v>
      </c>
      <c r="D21" s="79">
        <v>4</v>
      </c>
      <c r="E21" s="7"/>
      <c r="F21" s="7"/>
      <c r="IU21" s="21"/>
      <c r="IV21" s="21"/>
      <c r="IW21" s="21"/>
    </row>
    <row r="22" spans="1:257" ht="15">
      <c r="A22" s="8"/>
      <c r="B22" s="24" t="s">
        <v>14</v>
      </c>
      <c r="C22" s="17"/>
      <c r="D22" s="17"/>
      <c r="E22" s="10"/>
      <c r="F22" s="10"/>
      <c r="IU22" s="21"/>
      <c r="IV22" s="21"/>
      <c r="IW22" s="21"/>
    </row>
    <row r="23" spans="1:257" ht="15">
      <c r="A23" s="11" t="s">
        <v>128</v>
      </c>
      <c r="B23" s="23" t="s">
        <v>15</v>
      </c>
      <c r="C23" s="78">
        <v>1</v>
      </c>
      <c r="D23" s="78">
        <v>1</v>
      </c>
      <c r="E23" s="7"/>
      <c r="F23" s="7"/>
      <c r="IU23" s="21"/>
      <c r="IV23" s="21"/>
      <c r="IW23" s="21"/>
    </row>
    <row r="24" spans="1:257" ht="15">
      <c r="A24" s="11"/>
      <c r="B24" s="25" t="s">
        <v>16</v>
      </c>
      <c r="C24" s="79">
        <v>2</v>
      </c>
      <c r="D24" s="79">
        <v>2</v>
      </c>
      <c r="E24" s="7"/>
      <c r="F24" s="7"/>
      <c r="IU24" s="21"/>
      <c r="IV24" s="21"/>
      <c r="IW24" s="21"/>
    </row>
    <row r="25" spans="1:257" ht="15">
      <c r="A25" s="11"/>
      <c r="B25" s="25" t="s">
        <v>17</v>
      </c>
      <c r="C25" s="78">
        <v>2</v>
      </c>
      <c r="D25" s="78">
        <v>2</v>
      </c>
      <c r="E25" s="7"/>
      <c r="F25" s="7"/>
      <c r="IU25" s="21"/>
      <c r="IV25" s="21"/>
      <c r="IW25" s="21"/>
    </row>
    <row r="26" spans="1:257" ht="15">
      <c r="A26" s="11"/>
      <c r="B26" s="25" t="s">
        <v>18</v>
      </c>
      <c r="C26" s="78">
        <v>4</v>
      </c>
      <c r="D26" s="78">
        <v>4</v>
      </c>
      <c r="E26" s="7"/>
      <c r="F26" s="7"/>
      <c r="IU26" s="21"/>
      <c r="IV26" s="21"/>
      <c r="IW26" s="21"/>
    </row>
    <row r="27" spans="1:257" ht="15">
      <c r="A27" s="11" t="s">
        <v>128</v>
      </c>
      <c r="B27" s="26" t="s">
        <v>19</v>
      </c>
      <c r="C27" s="80">
        <v>4</v>
      </c>
      <c r="D27" s="80">
        <v>4</v>
      </c>
      <c r="E27" s="7"/>
      <c r="F27" s="7"/>
      <c r="IU27" s="21"/>
      <c r="IV27" s="21"/>
      <c r="IW27" s="21"/>
    </row>
    <row r="28" spans="1:257" ht="15">
      <c r="A28" s="15"/>
      <c r="B28" s="27" t="s">
        <v>114</v>
      </c>
      <c r="C28" s="84">
        <v>2</v>
      </c>
      <c r="D28" s="81">
        <v>6</v>
      </c>
      <c r="E28" s="16"/>
      <c r="F28" s="7"/>
      <c r="IU28" s="21"/>
      <c r="IV28" s="21"/>
      <c r="IW28" s="21"/>
    </row>
    <row r="29" spans="1:257" ht="15">
      <c r="A29" s="8"/>
      <c r="B29" s="28" t="s">
        <v>20</v>
      </c>
      <c r="C29" s="18"/>
      <c r="D29" s="18"/>
      <c r="E29" s="10"/>
      <c r="F29" s="10"/>
      <c r="IU29" s="21"/>
      <c r="IV29" s="21"/>
      <c r="IW29" s="21"/>
    </row>
    <row r="30" spans="1:257" ht="15">
      <c r="A30" s="11"/>
      <c r="B30" s="23" t="s">
        <v>21</v>
      </c>
      <c r="C30" s="78">
        <v>4</v>
      </c>
      <c r="D30" s="78">
        <v>4</v>
      </c>
      <c r="E30" s="7"/>
      <c r="F30" s="7"/>
      <c r="IU30" s="21"/>
      <c r="IV30" s="21"/>
      <c r="IW30" s="21"/>
    </row>
    <row r="31" spans="1:257" ht="15">
      <c r="A31" s="11"/>
      <c r="B31" s="23" t="s">
        <v>22</v>
      </c>
      <c r="C31" s="79">
        <v>8</v>
      </c>
      <c r="D31" s="79">
        <v>8</v>
      </c>
      <c r="E31" s="7"/>
      <c r="F31" s="7"/>
      <c r="IU31" s="21"/>
      <c r="IV31" s="21"/>
      <c r="IW31" s="21"/>
    </row>
    <row r="32" spans="1:257" ht="15">
      <c r="A32" s="8"/>
      <c r="B32" s="24" t="s">
        <v>23</v>
      </c>
      <c r="C32" s="17"/>
      <c r="D32" s="17"/>
      <c r="E32" s="10"/>
      <c r="F32" s="10"/>
      <c r="IU32" s="21"/>
      <c r="IV32" s="21"/>
      <c r="IW32" s="21"/>
    </row>
    <row r="33" spans="1:257" ht="15">
      <c r="A33" s="11"/>
      <c r="B33" s="23" t="s">
        <v>24</v>
      </c>
      <c r="C33" s="78">
        <v>1</v>
      </c>
      <c r="D33" s="78">
        <v>1</v>
      </c>
      <c r="E33" s="7"/>
      <c r="F33" s="7"/>
      <c r="IU33" s="21"/>
      <c r="IV33" s="21"/>
      <c r="IW33" s="21"/>
    </row>
    <row r="34" spans="1:257" ht="15">
      <c r="A34" s="11"/>
      <c r="B34" s="23" t="s">
        <v>25</v>
      </c>
      <c r="C34" s="78">
        <v>1</v>
      </c>
      <c r="D34" s="78">
        <v>1</v>
      </c>
      <c r="E34" s="7"/>
      <c r="F34" s="7"/>
      <c r="IU34" s="21"/>
      <c r="IV34" s="21"/>
      <c r="IW34" s="21"/>
    </row>
    <row r="35" spans="1:257" ht="15">
      <c r="A35" s="11"/>
      <c r="B35" s="23" t="s">
        <v>26</v>
      </c>
      <c r="C35" s="78">
        <v>1</v>
      </c>
      <c r="D35" s="78">
        <v>1</v>
      </c>
      <c r="E35" s="7"/>
      <c r="F35" s="7"/>
      <c r="IU35" s="21"/>
      <c r="IV35" s="21"/>
      <c r="IW35" s="21"/>
    </row>
    <row r="36" spans="1:257" ht="15">
      <c r="A36" s="11"/>
      <c r="B36" s="23" t="s">
        <v>27</v>
      </c>
      <c r="C36" s="78">
        <v>1</v>
      </c>
      <c r="D36" s="78">
        <v>1</v>
      </c>
      <c r="E36" s="7"/>
      <c r="F36" s="7"/>
      <c r="IU36" s="21"/>
      <c r="IV36" s="21"/>
      <c r="IW36" s="21"/>
    </row>
    <row r="37" spans="1:257" ht="15">
      <c r="A37" s="11"/>
      <c r="B37" s="25" t="s">
        <v>28</v>
      </c>
      <c r="C37" s="78">
        <v>4</v>
      </c>
      <c r="D37" s="78">
        <v>4</v>
      </c>
      <c r="E37" s="7"/>
      <c r="F37" s="7"/>
      <c r="IU37" s="21"/>
      <c r="IV37" s="21"/>
      <c r="IW37" s="21"/>
    </row>
    <row r="38" spans="1:257" ht="15">
      <c r="A38" s="11"/>
      <c r="B38" s="25" t="s">
        <v>29</v>
      </c>
      <c r="C38" s="78">
        <v>2</v>
      </c>
      <c r="D38" s="78">
        <v>2</v>
      </c>
      <c r="E38" s="7"/>
      <c r="F38" s="7"/>
      <c r="IU38" s="21"/>
      <c r="IV38" s="21"/>
      <c r="IW38" s="21"/>
    </row>
    <row r="39" spans="1:257" ht="15">
      <c r="A39" s="11"/>
      <c r="B39" s="25" t="s">
        <v>30</v>
      </c>
      <c r="C39" s="78">
        <v>2</v>
      </c>
      <c r="D39" s="78">
        <v>2</v>
      </c>
      <c r="E39" s="7"/>
      <c r="F39" s="7"/>
      <c r="IU39" s="21"/>
      <c r="IV39" s="21"/>
      <c r="IW39" s="21"/>
    </row>
    <row r="40" spans="1:257" ht="15">
      <c r="A40" s="11"/>
      <c r="B40" s="23" t="s">
        <v>31</v>
      </c>
      <c r="C40" s="78">
        <v>1</v>
      </c>
      <c r="D40" s="78">
        <v>1</v>
      </c>
      <c r="E40" s="7"/>
      <c r="F40" s="7"/>
      <c r="IU40" s="21"/>
      <c r="IV40" s="21"/>
      <c r="IW40" s="21"/>
    </row>
    <row r="41" spans="1:257" ht="15">
      <c r="A41" s="11"/>
      <c r="B41" s="25" t="s">
        <v>32</v>
      </c>
      <c r="C41" s="78">
        <v>2</v>
      </c>
      <c r="D41" s="78">
        <v>2</v>
      </c>
      <c r="E41" s="7"/>
      <c r="F41" s="7"/>
      <c r="IU41" s="21"/>
      <c r="IV41" s="21"/>
      <c r="IW41" s="21"/>
    </row>
    <row r="42" spans="1:257" ht="15">
      <c r="A42" s="11"/>
      <c r="B42" s="25" t="s">
        <v>33</v>
      </c>
      <c r="C42" s="78">
        <v>4</v>
      </c>
      <c r="D42" s="82">
        <v>8</v>
      </c>
      <c r="E42" s="7"/>
      <c r="F42" s="7"/>
      <c r="IU42" s="21"/>
      <c r="IV42" s="21"/>
      <c r="IW42" s="21"/>
    </row>
    <row r="43" spans="1:257" ht="15">
      <c r="A43" s="8"/>
      <c r="B43" s="24" t="s">
        <v>34</v>
      </c>
      <c r="C43" s="17"/>
      <c r="D43" s="17"/>
      <c r="E43" s="10"/>
      <c r="F43" s="10"/>
      <c r="IU43" s="21"/>
      <c r="IV43" s="21"/>
      <c r="IW43" s="21"/>
    </row>
    <row r="44" spans="1:257" ht="15">
      <c r="A44" s="11"/>
      <c r="B44" s="23" t="s">
        <v>35</v>
      </c>
      <c r="C44" s="78">
        <v>6</v>
      </c>
      <c r="D44" s="78">
        <v>6</v>
      </c>
      <c r="E44" s="7"/>
      <c r="F44" s="7"/>
      <c r="IU44" s="21"/>
      <c r="IV44" s="21"/>
      <c r="IW44" s="21"/>
    </row>
    <row r="45" spans="1:257" ht="15">
      <c r="A45" s="8"/>
      <c r="B45" s="24" t="s">
        <v>36</v>
      </c>
      <c r="C45" s="17"/>
      <c r="D45" s="17"/>
      <c r="E45" s="10"/>
      <c r="F45" s="10"/>
      <c r="IU45" s="21"/>
      <c r="IV45" s="21"/>
      <c r="IW45" s="21"/>
    </row>
    <row r="46" spans="1:257" ht="15">
      <c r="A46" s="11"/>
      <c r="B46" s="23" t="s">
        <v>37</v>
      </c>
      <c r="C46" s="78">
        <v>6</v>
      </c>
      <c r="D46" s="78">
        <v>6</v>
      </c>
      <c r="E46" s="7"/>
      <c r="F46" s="7"/>
      <c r="IU46" s="21"/>
      <c r="IV46" s="21"/>
      <c r="IW46" s="21"/>
    </row>
    <row r="47" spans="1:257" ht="15">
      <c r="A47" s="8"/>
      <c r="B47" s="24" t="s">
        <v>38</v>
      </c>
      <c r="C47" s="17"/>
      <c r="D47" s="17"/>
      <c r="E47" s="10"/>
      <c r="F47" s="10"/>
      <c r="IU47" s="21"/>
      <c r="IV47" s="21"/>
      <c r="IW47" s="21"/>
    </row>
    <row r="48" spans="1:257" ht="15">
      <c r="A48" s="11"/>
      <c r="B48" s="23" t="s">
        <v>39</v>
      </c>
      <c r="C48" s="78">
        <v>1</v>
      </c>
      <c r="D48" s="78">
        <v>1</v>
      </c>
      <c r="E48" s="7"/>
      <c r="F48" s="7"/>
      <c r="IU48" s="21"/>
      <c r="IV48" s="21"/>
      <c r="IW48" s="21"/>
    </row>
    <row r="49" spans="1:257" ht="15">
      <c r="A49" s="11"/>
      <c r="B49" s="23" t="s">
        <v>40</v>
      </c>
      <c r="C49" s="79">
        <v>2</v>
      </c>
      <c r="D49" s="79">
        <v>2</v>
      </c>
      <c r="E49" s="7"/>
      <c r="F49" s="7"/>
      <c r="IU49" s="21"/>
      <c r="IV49" s="21"/>
      <c r="IW49" s="21"/>
    </row>
    <row r="50" spans="1:257" ht="15">
      <c r="A50" s="11"/>
      <c r="B50" s="23" t="s">
        <v>41</v>
      </c>
      <c r="C50" s="78">
        <v>6</v>
      </c>
      <c r="D50" s="82">
        <v>6</v>
      </c>
      <c r="E50" s="7"/>
      <c r="F50" s="7"/>
      <c r="IU50" s="21"/>
      <c r="IV50" s="21"/>
      <c r="IW50" s="21"/>
    </row>
    <row r="51" spans="1:257" ht="15">
      <c r="A51" s="11"/>
      <c r="B51" s="23" t="s">
        <v>42</v>
      </c>
      <c r="C51" s="79">
        <v>8</v>
      </c>
      <c r="D51" s="79">
        <v>8</v>
      </c>
      <c r="E51" s="7"/>
      <c r="F51" s="7"/>
      <c r="IU51" s="21"/>
      <c r="IV51" s="21"/>
      <c r="IW51" s="21"/>
    </row>
    <row r="52" spans="1:257" ht="15">
      <c r="A52" s="11"/>
      <c r="B52" s="23" t="s">
        <v>44</v>
      </c>
      <c r="C52" s="79">
        <v>2</v>
      </c>
      <c r="D52" s="79">
        <v>2</v>
      </c>
      <c r="E52" s="7"/>
      <c r="F52" s="7"/>
      <c r="IU52" s="21"/>
      <c r="IV52" s="21"/>
      <c r="IW52" s="21"/>
    </row>
    <row r="53" spans="1:257" ht="15">
      <c r="A53" s="11"/>
      <c r="B53" s="23" t="s">
        <v>45</v>
      </c>
      <c r="C53" s="79">
        <v>1</v>
      </c>
      <c r="D53" s="79">
        <v>1</v>
      </c>
      <c r="E53" s="7"/>
      <c r="F53" s="7"/>
      <c r="IU53" s="21"/>
      <c r="IV53" s="21"/>
      <c r="IW53" s="21"/>
    </row>
    <row r="54" spans="1:257" ht="15">
      <c r="A54" s="11"/>
      <c r="B54" s="23" t="s">
        <v>46</v>
      </c>
      <c r="C54" s="79">
        <v>1</v>
      </c>
      <c r="D54" s="79">
        <v>1</v>
      </c>
      <c r="E54" s="7"/>
      <c r="F54" s="7"/>
      <c r="IU54" s="21"/>
      <c r="IV54" s="21"/>
      <c r="IW54" s="21"/>
    </row>
    <row r="55" spans="1:257" ht="15">
      <c r="A55" s="8"/>
      <c r="B55" s="24" t="s">
        <v>47</v>
      </c>
      <c r="C55" s="17"/>
      <c r="D55" s="17"/>
      <c r="E55" s="10"/>
      <c r="F55" s="10"/>
      <c r="IU55" s="21"/>
      <c r="IV55" s="21"/>
      <c r="IW55" s="21"/>
    </row>
    <row r="56" spans="1:257" ht="15">
      <c r="A56" s="11"/>
      <c r="B56" s="23" t="s">
        <v>48</v>
      </c>
      <c r="C56" s="78">
        <v>12</v>
      </c>
      <c r="D56" s="82">
        <v>16</v>
      </c>
      <c r="E56" s="7"/>
      <c r="F56" s="7"/>
      <c r="IU56" s="21"/>
      <c r="IV56" s="21"/>
      <c r="IW56" s="21"/>
    </row>
    <row r="57" spans="1:257" ht="15">
      <c r="A57" s="11"/>
      <c r="B57" s="23" t="s">
        <v>49</v>
      </c>
      <c r="C57" s="78">
        <v>8</v>
      </c>
      <c r="D57" s="82">
        <v>18</v>
      </c>
      <c r="E57" s="7"/>
      <c r="F57" s="7"/>
      <c r="IU57" s="21"/>
      <c r="IV57" s="21"/>
      <c r="IW57" s="21"/>
    </row>
    <row r="58" spans="1:257" ht="15">
      <c r="A58" s="11"/>
      <c r="B58" s="23" t="s">
        <v>50</v>
      </c>
      <c r="C58" s="79">
        <v>2</v>
      </c>
      <c r="D58" s="79">
        <v>2</v>
      </c>
      <c r="E58" s="7"/>
      <c r="F58" s="7"/>
      <c r="IU58" s="21"/>
      <c r="IV58" s="21"/>
      <c r="IW58" s="21"/>
    </row>
    <row r="59" spans="1:257" ht="15">
      <c r="A59" s="11"/>
      <c r="B59" s="23" t="s">
        <v>51</v>
      </c>
      <c r="C59" s="78">
        <v>4</v>
      </c>
      <c r="D59" s="78">
        <v>4</v>
      </c>
      <c r="E59" s="7"/>
      <c r="F59" s="7"/>
      <c r="IU59" s="21"/>
      <c r="IV59" s="21"/>
      <c r="IW59" s="21"/>
    </row>
    <row r="60" spans="1:257" ht="15">
      <c r="A60" s="11"/>
      <c r="B60" s="23" t="s">
        <v>52</v>
      </c>
      <c r="C60" s="79">
        <v>2</v>
      </c>
      <c r="D60" s="79">
        <v>2</v>
      </c>
      <c r="E60" s="7"/>
      <c r="F60" s="7"/>
      <c r="IU60" s="21"/>
      <c r="IV60" s="21"/>
      <c r="IW60" s="21"/>
    </row>
    <row r="61" spans="1:257" ht="15">
      <c r="A61" s="11"/>
      <c r="B61" s="23" t="s">
        <v>53</v>
      </c>
      <c r="C61" s="79">
        <v>6</v>
      </c>
      <c r="D61" s="79">
        <v>6</v>
      </c>
      <c r="E61" s="7"/>
      <c r="F61" s="7"/>
      <c r="IU61" s="21"/>
      <c r="IV61" s="21"/>
      <c r="IW61" s="21"/>
    </row>
    <row r="62" spans="1:257" ht="15">
      <c r="A62" s="11"/>
      <c r="B62" s="23" t="s">
        <v>54</v>
      </c>
      <c r="C62" s="79">
        <v>4</v>
      </c>
      <c r="D62" s="79">
        <v>4</v>
      </c>
      <c r="E62" s="7"/>
      <c r="F62" s="7"/>
      <c r="IU62" s="21"/>
      <c r="IV62" s="21"/>
      <c r="IW62" s="21"/>
    </row>
    <row r="63" spans="1:257" ht="15">
      <c r="A63" s="11"/>
      <c r="B63" s="23" t="s">
        <v>55</v>
      </c>
      <c r="C63" s="79">
        <v>8</v>
      </c>
      <c r="D63" s="79">
        <v>8</v>
      </c>
      <c r="E63" s="7"/>
      <c r="F63" s="7"/>
      <c r="IU63" s="21"/>
      <c r="IV63" s="21"/>
      <c r="IW63" s="21"/>
    </row>
    <row r="64" spans="1:257" ht="15">
      <c r="A64" s="11"/>
      <c r="B64" s="23" t="s">
        <v>56</v>
      </c>
      <c r="C64" s="79">
        <v>12</v>
      </c>
      <c r="D64" s="79">
        <v>12</v>
      </c>
      <c r="E64" s="7"/>
      <c r="F64" s="7"/>
      <c r="IU64" s="21"/>
      <c r="IV64" s="21"/>
      <c r="IW64" s="21"/>
    </row>
    <row r="65" spans="1:257" ht="15">
      <c r="A65" s="4" t="s">
        <v>66</v>
      </c>
      <c r="B65" s="22"/>
      <c r="C65" s="74">
        <f>SUM(C66:C68)</f>
        <v>44</v>
      </c>
      <c r="D65" s="74">
        <f>SUM(D66:D68)</f>
        <v>44</v>
      </c>
      <c r="E65" s="5"/>
      <c r="F65" s="5"/>
      <c r="IU65" s="21"/>
      <c r="IV65" s="21"/>
      <c r="IW65" s="21"/>
    </row>
    <row r="66" spans="1:257" ht="15">
      <c r="A66" s="6"/>
      <c r="B66" s="23" t="s">
        <v>67</v>
      </c>
      <c r="C66" s="19">
        <v>4</v>
      </c>
      <c r="D66" s="19">
        <v>4</v>
      </c>
      <c r="E66" s="7"/>
      <c r="F66" s="7"/>
      <c r="IU66" s="21"/>
      <c r="IV66" s="21"/>
      <c r="IW66" s="21"/>
    </row>
    <row r="67" spans="1:257" ht="15">
      <c r="A67" s="6"/>
      <c r="B67" s="23" t="s">
        <v>68</v>
      </c>
      <c r="C67" s="19">
        <v>32</v>
      </c>
      <c r="D67" s="19">
        <v>32</v>
      </c>
      <c r="E67" s="7"/>
      <c r="F67" s="7"/>
      <c r="IU67" s="21"/>
      <c r="IV67" s="21"/>
      <c r="IW67" s="21"/>
    </row>
    <row r="68" spans="1:257" ht="15">
      <c r="A68" s="6"/>
      <c r="B68" s="23" t="s">
        <v>69</v>
      </c>
      <c r="C68" s="19">
        <v>8</v>
      </c>
      <c r="D68" s="19">
        <v>8</v>
      </c>
      <c r="E68" s="7"/>
      <c r="F68" s="7"/>
      <c r="IU68" s="21"/>
      <c r="IV68" s="21"/>
      <c r="IW68" s="21"/>
    </row>
    <row r="69" spans="1:257" ht="15">
      <c r="A69" s="4" t="s">
        <v>70</v>
      </c>
      <c r="B69" s="22"/>
      <c r="C69" s="74">
        <v>19</v>
      </c>
      <c r="D69" s="74">
        <v>19</v>
      </c>
      <c r="E69" s="5"/>
      <c r="F69" s="5"/>
      <c r="IU69" s="21"/>
      <c r="IV69" s="21"/>
      <c r="IW69" s="21"/>
    </row>
    <row r="70" spans="1:257" ht="15">
      <c r="A70" s="3" t="s">
        <v>71</v>
      </c>
      <c r="B70" s="12"/>
      <c r="C70" s="12">
        <f>SUM(C12,C15,C65,C69)</f>
        <v>216</v>
      </c>
      <c r="D70" s="12">
        <f>SUM(D12,D15,D65,D69)</f>
        <v>238</v>
      </c>
      <c r="E70" s="12"/>
      <c r="F70" s="12"/>
      <c r="IU70" s="21"/>
      <c r="IV70" s="21"/>
      <c r="IW70" s="2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W70"/>
  <sheetViews>
    <sheetView topLeftCell="A43" workbookViewId="0">
      <selection activeCell="E62" sqref="E62:F63"/>
    </sheetView>
  </sheetViews>
  <sheetFormatPr defaultColWidth="8.59765625" defaultRowHeight="14.1" customHeight="1"/>
  <cols>
    <col min="1" max="1" width="8.69921875" style="20" customWidth="1"/>
    <col min="2" max="2" width="25.3984375" style="20" customWidth="1"/>
    <col min="3" max="4" width="9.3984375" style="83" customWidth="1"/>
    <col min="5" max="6" width="14.3984375" style="20" customWidth="1"/>
    <col min="7" max="7" width="11.09765625" style="20" customWidth="1"/>
    <col min="8" max="8" width="7.19921875" style="20" customWidth="1"/>
    <col min="9" max="257" width="8.59765625" style="20" customWidth="1"/>
    <col min="258" max="16384" width="8.59765625" style="21"/>
  </cols>
  <sheetData>
    <row r="1" spans="1:257" ht="18" customHeight="1">
      <c r="A1" s="29"/>
      <c r="B1" s="29"/>
      <c r="C1" s="31"/>
      <c r="D1" s="31"/>
      <c r="E1" s="29"/>
      <c r="F1" s="29"/>
      <c r="IU1" s="21"/>
      <c r="IV1" s="21"/>
      <c r="IW1" s="21"/>
    </row>
    <row r="2" spans="1:257" ht="18" customHeight="1">
      <c r="A2" s="29"/>
      <c r="B2" s="29"/>
      <c r="C2" s="75" t="s">
        <v>121</v>
      </c>
      <c r="D2" s="75"/>
      <c r="E2" s="30" t="s">
        <v>0</v>
      </c>
      <c r="F2" s="29"/>
      <c r="IU2" s="21"/>
      <c r="IV2" s="21"/>
      <c r="IW2" s="21"/>
    </row>
    <row r="3" spans="1:257" ht="18" customHeight="1">
      <c r="A3" s="29"/>
      <c r="B3" s="29"/>
      <c r="C3" s="31"/>
      <c r="D3" s="31"/>
      <c r="E3" s="32" t="s">
        <v>1</v>
      </c>
      <c r="F3" s="29"/>
      <c r="IU3" s="21"/>
      <c r="IV3" s="21"/>
      <c r="IW3" s="21"/>
    </row>
    <row r="4" spans="1:257" ht="18" customHeight="1">
      <c r="A4" s="29"/>
      <c r="B4" s="29"/>
      <c r="C4" s="75" t="s">
        <v>120</v>
      </c>
      <c r="D4" s="75"/>
      <c r="E4" s="30" t="s">
        <v>117</v>
      </c>
      <c r="F4" s="29"/>
      <c r="IU4" s="21"/>
      <c r="IV4" s="21"/>
      <c r="IW4" s="21"/>
    </row>
    <row r="5" spans="1:257" ht="18" customHeight="1">
      <c r="A5" s="29"/>
      <c r="B5" s="29"/>
      <c r="C5" s="75" t="s">
        <v>119</v>
      </c>
      <c r="D5" s="75"/>
      <c r="E5" s="30" t="s">
        <v>118</v>
      </c>
      <c r="F5" s="29"/>
      <c r="IU5" s="21"/>
      <c r="IV5" s="21"/>
      <c r="IW5" s="21"/>
    </row>
    <row r="6" spans="1:257" ht="18" customHeight="1">
      <c r="A6" s="29"/>
      <c r="B6" s="29"/>
      <c r="C6" s="31"/>
      <c r="D6" s="31"/>
      <c r="E6" s="33"/>
      <c r="F6" s="29"/>
      <c r="IU6" s="21"/>
      <c r="IV6" s="21"/>
      <c r="IW6" s="21"/>
    </row>
    <row r="7" spans="1:257" ht="18" customHeight="1">
      <c r="A7" s="29"/>
      <c r="B7" s="29"/>
      <c r="C7" s="76" t="s">
        <v>116</v>
      </c>
      <c r="D7" s="76"/>
      <c r="E7" s="31"/>
      <c r="F7" s="29"/>
      <c r="IU7" s="21"/>
      <c r="IV7" s="21"/>
      <c r="IW7" s="21"/>
    </row>
    <row r="8" spans="1:257" ht="18" customHeight="1">
      <c r="A8" s="34"/>
      <c r="B8" s="29"/>
      <c r="C8" s="31"/>
      <c r="D8" s="31"/>
      <c r="E8" s="29"/>
      <c r="F8" s="29"/>
      <c r="IU8" s="21"/>
      <c r="IV8" s="21"/>
      <c r="IW8" s="21"/>
    </row>
    <row r="9" spans="1:257" ht="18" customHeight="1">
      <c r="A9" s="35"/>
      <c r="B9" s="29"/>
      <c r="C9" s="31"/>
      <c r="D9" s="31"/>
      <c r="E9" s="29"/>
      <c r="F9" s="29"/>
      <c r="IU9" s="21"/>
      <c r="IV9" s="21"/>
      <c r="IW9" s="21"/>
    </row>
    <row r="10" spans="1:257" ht="27.95" customHeight="1">
      <c r="A10" s="36" t="s">
        <v>57</v>
      </c>
      <c r="B10" s="29"/>
      <c r="C10" s="31"/>
      <c r="D10" s="31"/>
      <c r="E10" s="29"/>
      <c r="F10" s="29"/>
      <c r="IU10" s="21"/>
      <c r="IV10" s="21"/>
      <c r="IW10" s="21"/>
    </row>
    <row r="11" spans="1:257" ht="15">
      <c r="A11" s="37" t="s">
        <v>58</v>
      </c>
      <c r="B11" s="37" t="s">
        <v>59</v>
      </c>
      <c r="C11" s="77" t="s">
        <v>115</v>
      </c>
      <c r="D11" s="77" t="s">
        <v>129</v>
      </c>
      <c r="E11" s="38" t="s">
        <v>60</v>
      </c>
      <c r="F11" s="37" t="s">
        <v>61</v>
      </c>
      <c r="IU11" s="21"/>
      <c r="IV11" s="21"/>
      <c r="IW11" s="21"/>
    </row>
    <row r="12" spans="1:257" ht="15">
      <c r="A12" s="4" t="s">
        <v>62</v>
      </c>
      <c r="B12" s="22"/>
      <c r="C12" s="74">
        <f>SUM(C13:C14)</f>
        <v>4</v>
      </c>
      <c r="D12" s="74"/>
      <c r="E12" s="5"/>
      <c r="F12" s="5"/>
      <c r="IU12" s="21"/>
      <c r="IV12" s="21"/>
      <c r="IW12" s="21"/>
    </row>
    <row r="13" spans="1:257" ht="15">
      <c r="A13" s="6"/>
      <c r="B13" s="23" t="s">
        <v>63</v>
      </c>
      <c r="C13" s="78">
        <v>2</v>
      </c>
      <c r="D13" s="78" t="s">
        <v>132</v>
      </c>
      <c r="E13" s="7"/>
      <c r="F13" s="7"/>
      <c r="IU13" s="21"/>
      <c r="IV13" s="21"/>
      <c r="IW13" s="21"/>
    </row>
    <row r="14" spans="1:257" ht="15">
      <c r="A14" s="6"/>
      <c r="B14" s="23" t="s">
        <v>64</v>
      </c>
      <c r="C14" s="78">
        <v>2</v>
      </c>
      <c r="D14" s="78" t="s">
        <v>132</v>
      </c>
      <c r="E14" s="7"/>
      <c r="F14" s="7"/>
      <c r="IU14" s="21"/>
      <c r="IV14" s="21"/>
      <c r="IW14" s="21"/>
    </row>
    <row r="15" spans="1:257" ht="15">
      <c r="A15" s="4" t="s">
        <v>65</v>
      </c>
      <c r="B15" s="22"/>
      <c r="C15" s="74">
        <f>SUM(C17:C64)</f>
        <v>149</v>
      </c>
      <c r="D15" s="74"/>
      <c r="E15" s="5"/>
      <c r="F15" s="5"/>
      <c r="IU15" s="21"/>
      <c r="IV15" s="21"/>
      <c r="IW15" s="21"/>
    </row>
    <row r="16" spans="1:257" ht="15">
      <c r="A16" s="8"/>
      <c r="B16" s="24" t="s">
        <v>8</v>
      </c>
      <c r="C16" s="9"/>
      <c r="D16" s="9"/>
      <c r="E16" s="10"/>
      <c r="F16" s="10"/>
      <c r="IU16" s="21"/>
      <c r="IV16" s="21"/>
      <c r="IW16" s="21"/>
    </row>
    <row r="17" spans="1:257" ht="15">
      <c r="A17" s="11"/>
      <c r="B17" s="85" t="s">
        <v>9</v>
      </c>
      <c r="C17" s="78">
        <v>1</v>
      </c>
      <c r="D17" s="78"/>
      <c r="E17" s="7"/>
      <c r="F17" s="7"/>
      <c r="IU17" s="21"/>
      <c r="IV17" s="21"/>
      <c r="IW17" s="21"/>
    </row>
    <row r="18" spans="1:257" ht="15">
      <c r="A18" s="11"/>
      <c r="B18" s="23" t="s">
        <v>11</v>
      </c>
      <c r="C18" s="79">
        <v>2</v>
      </c>
      <c r="D18" s="79" t="s">
        <v>130</v>
      </c>
      <c r="E18" s="7"/>
      <c r="F18" s="7"/>
      <c r="IU18" s="21"/>
      <c r="IV18" s="21"/>
      <c r="IW18" s="21"/>
    </row>
    <row r="19" spans="1:257" ht="15">
      <c r="A19" s="11"/>
      <c r="B19" s="85" t="s">
        <v>12</v>
      </c>
      <c r="C19" s="78">
        <v>1</v>
      </c>
      <c r="D19" s="78"/>
      <c r="E19" s="7"/>
      <c r="F19" s="7"/>
      <c r="IU19" s="21"/>
      <c r="IV19" s="21"/>
      <c r="IW19" s="21"/>
    </row>
    <row r="20" spans="1:257" ht="30">
      <c r="A20" s="11"/>
      <c r="B20" s="25" t="s">
        <v>113</v>
      </c>
      <c r="C20" s="78">
        <v>4</v>
      </c>
      <c r="D20" s="78" t="s">
        <v>130</v>
      </c>
      <c r="E20" s="7"/>
      <c r="F20" s="7"/>
      <c r="IU20" s="21"/>
      <c r="IV20" s="21"/>
      <c r="IW20" s="21"/>
    </row>
    <row r="21" spans="1:257" ht="15">
      <c r="A21" s="11"/>
      <c r="B21" s="85" t="s">
        <v>112</v>
      </c>
      <c r="C21" s="79">
        <v>4</v>
      </c>
      <c r="D21" s="79"/>
      <c r="E21" s="7"/>
      <c r="F21" s="7"/>
      <c r="IU21" s="21"/>
      <c r="IV21" s="21"/>
      <c r="IW21" s="21"/>
    </row>
    <row r="22" spans="1:257" ht="15">
      <c r="A22" s="8"/>
      <c r="B22" s="24" t="s">
        <v>14</v>
      </c>
      <c r="C22" s="17"/>
      <c r="D22" s="17"/>
      <c r="E22" s="10"/>
      <c r="F22" s="10"/>
      <c r="IU22" s="21"/>
      <c r="IV22" s="21"/>
      <c r="IW22" s="21"/>
    </row>
    <row r="23" spans="1:257" ht="15">
      <c r="A23" s="11" t="s">
        <v>128</v>
      </c>
      <c r="B23" s="23" t="s">
        <v>15</v>
      </c>
      <c r="C23" s="78">
        <v>1</v>
      </c>
      <c r="D23" s="78" t="s">
        <v>131</v>
      </c>
      <c r="E23" s="7">
        <v>41813</v>
      </c>
      <c r="F23" s="7">
        <v>41814</v>
      </c>
      <c r="IU23" s="21"/>
      <c r="IV23" s="21"/>
      <c r="IW23" s="21"/>
    </row>
    <row r="24" spans="1:257" ht="15">
      <c r="A24" s="11"/>
      <c r="B24" s="25" t="s">
        <v>16</v>
      </c>
      <c r="C24" s="79">
        <v>2</v>
      </c>
      <c r="D24" s="78" t="s">
        <v>131</v>
      </c>
      <c r="E24" s="7">
        <v>41813</v>
      </c>
      <c r="F24" s="7">
        <v>41814</v>
      </c>
      <c r="IU24" s="21"/>
      <c r="IV24" s="21"/>
      <c r="IW24" s="21"/>
    </row>
    <row r="25" spans="1:257" ht="15">
      <c r="A25" s="11"/>
      <c r="B25" s="25" t="s">
        <v>17</v>
      </c>
      <c r="C25" s="78">
        <v>2</v>
      </c>
      <c r="D25" s="78" t="s">
        <v>131</v>
      </c>
      <c r="E25" s="7">
        <v>41813</v>
      </c>
      <c r="F25" s="7">
        <v>41814</v>
      </c>
      <c r="IU25" s="21"/>
      <c r="IV25" s="21"/>
      <c r="IW25" s="21"/>
    </row>
    <row r="26" spans="1:257" ht="15">
      <c r="A26" s="11"/>
      <c r="B26" s="25" t="s">
        <v>18</v>
      </c>
      <c r="C26" s="78">
        <v>4</v>
      </c>
      <c r="D26" s="78" t="s">
        <v>131</v>
      </c>
      <c r="E26" s="7">
        <v>41814</v>
      </c>
      <c r="F26" s="7">
        <v>41815</v>
      </c>
      <c r="IU26" s="21"/>
      <c r="IV26" s="21"/>
      <c r="IW26" s="21"/>
    </row>
    <row r="27" spans="1:257" ht="15">
      <c r="A27" s="11" t="s">
        <v>128</v>
      </c>
      <c r="B27" s="26" t="s">
        <v>19</v>
      </c>
      <c r="C27" s="80">
        <v>4</v>
      </c>
      <c r="D27" s="78" t="s">
        <v>131</v>
      </c>
      <c r="E27" s="7">
        <v>41814</v>
      </c>
      <c r="F27" s="7">
        <v>41815</v>
      </c>
      <c r="IU27" s="21"/>
      <c r="IV27" s="21"/>
      <c r="IW27" s="21"/>
    </row>
    <row r="28" spans="1:257" ht="15">
      <c r="A28" s="15"/>
      <c r="B28" s="27" t="s">
        <v>114</v>
      </c>
      <c r="C28" s="84">
        <v>2</v>
      </c>
      <c r="D28" s="78" t="s">
        <v>131</v>
      </c>
      <c r="E28" s="7">
        <v>41815</v>
      </c>
      <c r="F28" s="7">
        <v>41815</v>
      </c>
      <c r="IU28" s="21"/>
      <c r="IV28" s="21"/>
      <c r="IW28" s="21"/>
    </row>
    <row r="29" spans="1:257" ht="15">
      <c r="A29" s="8"/>
      <c r="B29" s="28" t="s">
        <v>20</v>
      </c>
      <c r="C29" s="18"/>
      <c r="D29" s="18"/>
      <c r="E29" s="10"/>
      <c r="F29" s="10"/>
      <c r="IU29" s="21"/>
      <c r="IV29" s="21"/>
      <c r="IW29" s="21"/>
    </row>
    <row r="30" spans="1:257" ht="15">
      <c r="A30" s="11"/>
      <c r="B30" s="23" t="s">
        <v>21</v>
      </c>
      <c r="C30" s="78">
        <v>4</v>
      </c>
      <c r="D30" s="78" t="s">
        <v>131</v>
      </c>
      <c r="E30" s="7">
        <v>41815</v>
      </c>
      <c r="F30" s="7">
        <v>41816</v>
      </c>
      <c r="IU30" s="21"/>
      <c r="IV30" s="21"/>
      <c r="IW30" s="21"/>
    </row>
    <row r="31" spans="1:257" ht="15">
      <c r="A31" s="11"/>
      <c r="B31" s="23" t="s">
        <v>22</v>
      </c>
      <c r="C31" s="79">
        <v>8</v>
      </c>
      <c r="D31" s="79" t="s">
        <v>131</v>
      </c>
      <c r="E31" s="7">
        <v>41815</v>
      </c>
      <c r="F31" s="7">
        <v>41816</v>
      </c>
      <c r="IU31" s="21"/>
      <c r="IV31" s="21"/>
      <c r="IW31" s="21"/>
    </row>
    <row r="32" spans="1:257" ht="15">
      <c r="A32" s="8"/>
      <c r="B32" s="24" t="s">
        <v>23</v>
      </c>
      <c r="C32" s="17"/>
      <c r="D32" s="17"/>
      <c r="E32" s="10"/>
      <c r="F32" s="10"/>
      <c r="IU32" s="21"/>
      <c r="IV32" s="21"/>
      <c r="IW32" s="21"/>
    </row>
    <row r="33" spans="1:257" ht="15">
      <c r="A33" s="11"/>
      <c r="B33" s="23" t="s">
        <v>24</v>
      </c>
      <c r="C33" s="78">
        <v>1</v>
      </c>
      <c r="D33" s="78" t="s">
        <v>132</v>
      </c>
      <c r="E33" s="7"/>
      <c r="F33" s="7"/>
      <c r="IU33" s="21"/>
      <c r="IV33" s="21"/>
      <c r="IW33" s="21"/>
    </row>
    <row r="34" spans="1:257" ht="15">
      <c r="A34" s="11"/>
      <c r="B34" s="23" t="s">
        <v>25</v>
      </c>
      <c r="C34" s="78">
        <v>1</v>
      </c>
      <c r="D34" s="78" t="s">
        <v>132</v>
      </c>
      <c r="E34" s="7"/>
      <c r="F34" s="7"/>
      <c r="IU34" s="21"/>
      <c r="IV34" s="21"/>
      <c r="IW34" s="21"/>
    </row>
    <row r="35" spans="1:257" ht="15">
      <c r="A35" s="11"/>
      <c r="B35" s="23" t="s">
        <v>26</v>
      </c>
      <c r="C35" s="78">
        <v>1</v>
      </c>
      <c r="D35" s="78" t="s">
        <v>132</v>
      </c>
      <c r="E35" s="7"/>
      <c r="F35" s="7"/>
      <c r="IU35" s="21"/>
      <c r="IV35" s="21"/>
      <c r="IW35" s="21"/>
    </row>
    <row r="36" spans="1:257" ht="15">
      <c r="A36" s="11"/>
      <c r="B36" s="23" t="s">
        <v>27</v>
      </c>
      <c r="C36" s="78">
        <v>1</v>
      </c>
      <c r="D36" s="78" t="s">
        <v>132</v>
      </c>
      <c r="E36" s="7"/>
      <c r="F36" s="7"/>
      <c r="IU36" s="21"/>
      <c r="IV36" s="21"/>
      <c r="IW36" s="21"/>
    </row>
    <row r="37" spans="1:257" ht="15">
      <c r="A37" s="11"/>
      <c r="B37" s="25" t="s">
        <v>28</v>
      </c>
      <c r="C37" s="78">
        <v>4</v>
      </c>
      <c r="D37" s="78" t="s">
        <v>132</v>
      </c>
      <c r="E37" s="7"/>
      <c r="F37" s="7"/>
      <c r="IU37" s="21"/>
      <c r="IV37" s="21"/>
      <c r="IW37" s="21"/>
    </row>
    <row r="38" spans="1:257" ht="15">
      <c r="A38" s="11"/>
      <c r="B38" s="25" t="s">
        <v>29</v>
      </c>
      <c r="C38" s="78">
        <v>2</v>
      </c>
      <c r="D38" s="78" t="s">
        <v>132</v>
      </c>
      <c r="E38" s="7"/>
      <c r="F38" s="7"/>
      <c r="IU38" s="21"/>
      <c r="IV38" s="21"/>
      <c r="IW38" s="21"/>
    </row>
    <row r="39" spans="1:257" ht="15">
      <c r="A39" s="11"/>
      <c r="B39" s="25" t="s">
        <v>30</v>
      </c>
      <c r="C39" s="78">
        <v>2</v>
      </c>
      <c r="D39" s="78" t="s">
        <v>132</v>
      </c>
      <c r="E39" s="7"/>
      <c r="F39" s="7"/>
      <c r="IU39" s="21"/>
      <c r="IV39" s="21"/>
      <c r="IW39" s="21"/>
    </row>
    <row r="40" spans="1:257" ht="15">
      <c r="A40" s="11"/>
      <c r="B40" s="23" t="s">
        <v>31</v>
      </c>
      <c r="C40" s="78">
        <v>1</v>
      </c>
      <c r="D40" s="78" t="s">
        <v>132</v>
      </c>
      <c r="E40" s="7"/>
      <c r="F40" s="7"/>
      <c r="IU40" s="21"/>
      <c r="IV40" s="21"/>
      <c r="IW40" s="21"/>
    </row>
    <row r="41" spans="1:257" ht="15">
      <c r="A41" s="11"/>
      <c r="B41" s="25" t="s">
        <v>32</v>
      </c>
      <c r="C41" s="78">
        <v>2</v>
      </c>
      <c r="D41" s="78" t="s">
        <v>130</v>
      </c>
      <c r="E41" s="7"/>
      <c r="F41" s="7"/>
      <c r="IU41" s="21"/>
      <c r="IV41" s="21"/>
      <c r="IW41" s="21"/>
    </row>
    <row r="42" spans="1:257" ht="15">
      <c r="A42" s="11"/>
      <c r="B42" s="25" t="s">
        <v>33</v>
      </c>
      <c r="C42" s="78">
        <v>4</v>
      </c>
      <c r="D42" s="82" t="s">
        <v>132</v>
      </c>
      <c r="E42" s="7"/>
      <c r="F42" s="7"/>
      <c r="IU42" s="21"/>
      <c r="IV42" s="21"/>
      <c r="IW42" s="21"/>
    </row>
    <row r="43" spans="1:257" ht="15">
      <c r="A43" s="8"/>
      <c r="B43" s="24" t="s">
        <v>34</v>
      </c>
      <c r="C43" s="17"/>
      <c r="D43" s="17"/>
      <c r="E43" s="10"/>
      <c r="F43" s="10"/>
      <c r="IU43" s="21"/>
      <c r="IV43" s="21"/>
      <c r="IW43" s="21"/>
    </row>
    <row r="44" spans="1:257" ht="15">
      <c r="A44" s="11"/>
      <c r="B44" s="23" t="s">
        <v>35</v>
      </c>
      <c r="C44" s="78">
        <v>6</v>
      </c>
      <c r="D44" s="78" t="s">
        <v>130</v>
      </c>
      <c r="E44" s="7"/>
      <c r="F44" s="7"/>
      <c r="IU44" s="21"/>
      <c r="IV44" s="21"/>
      <c r="IW44" s="21"/>
    </row>
    <row r="45" spans="1:257" ht="15">
      <c r="A45" s="8"/>
      <c r="B45" s="24" t="s">
        <v>36</v>
      </c>
      <c r="C45" s="17"/>
      <c r="D45" s="17"/>
      <c r="E45" s="10"/>
      <c r="F45" s="10"/>
      <c r="IU45" s="21"/>
      <c r="IV45" s="21"/>
      <c r="IW45" s="21"/>
    </row>
    <row r="46" spans="1:257" ht="15">
      <c r="A46" s="11"/>
      <c r="B46" s="23" t="s">
        <v>37</v>
      </c>
      <c r="C46" s="78">
        <v>6</v>
      </c>
      <c r="D46" s="78" t="s">
        <v>130</v>
      </c>
      <c r="E46" s="7"/>
      <c r="F46" s="7"/>
      <c r="IU46" s="21"/>
      <c r="IV46" s="21"/>
      <c r="IW46" s="21"/>
    </row>
    <row r="47" spans="1:257" ht="15">
      <c r="A47" s="8"/>
      <c r="B47" s="24" t="s">
        <v>38</v>
      </c>
      <c r="C47" s="17"/>
      <c r="D47" s="17"/>
      <c r="E47" s="10"/>
      <c r="F47" s="10"/>
      <c r="IU47" s="21"/>
      <c r="IV47" s="21"/>
      <c r="IW47" s="21"/>
    </row>
    <row r="48" spans="1:257" ht="15">
      <c r="A48" s="11"/>
      <c r="B48" s="23" t="s">
        <v>39</v>
      </c>
      <c r="C48" s="78">
        <v>1</v>
      </c>
      <c r="D48" s="78" t="s">
        <v>130</v>
      </c>
      <c r="E48" s="7"/>
      <c r="F48" s="7"/>
      <c r="IU48" s="21"/>
      <c r="IV48" s="21"/>
      <c r="IW48" s="21"/>
    </row>
    <row r="49" spans="1:257" ht="15">
      <c r="A49" s="11"/>
      <c r="B49" s="23" t="s">
        <v>40</v>
      </c>
      <c r="C49" s="79">
        <v>2</v>
      </c>
      <c r="D49" s="78" t="s">
        <v>130</v>
      </c>
      <c r="E49" s="7"/>
      <c r="F49" s="7"/>
      <c r="IU49" s="21"/>
      <c r="IV49" s="21"/>
      <c r="IW49" s="21"/>
    </row>
    <row r="50" spans="1:257" ht="15">
      <c r="A50" s="11"/>
      <c r="B50" s="23" t="s">
        <v>41</v>
      </c>
      <c r="C50" s="78">
        <v>6</v>
      </c>
      <c r="D50" s="78" t="s">
        <v>130</v>
      </c>
      <c r="E50" s="7"/>
      <c r="F50" s="7"/>
      <c r="IU50" s="21"/>
      <c r="IV50" s="21"/>
      <c r="IW50" s="21"/>
    </row>
    <row r="51" spans="1:257" ht="15">
      <c r="A51" s="11"/>
      <c r="B51" s="23" t="s">
        <v>42</v>
      </c>
      <c r="C51" s="79">
        <v>8</v>
      </c>
      <c r="D51" s="78" t="s">
        <v>130</v>
      </c>
      <c r="E51" s="7"/>
      <c r="F51" s="7"/>
      <c r="IU51" s="21"/>
      <c r="IV51" s="21"/>
      <c r="IW51" s="21"/>
    </row>
    <row r="52" spans="1:257" ht="15">
      <c r="A52" s="11"/>
      <c r="B52" s="23" t="s">
        <v>44</v>
      </c>
      <c r="C52" s="79">
        <v>2</v>
      </c>
      <c r="D52" s="78" t="s">
        <v>130</v>
      </c>
      <c r="E52" s="7"/>
      <c r="F52" s="7"/>
      <c r="IU52" s="21"/>
      <c r="IV52" s="21"/>
      <c r="IW52" s="21"/>
    </row>
    <row r="53" spans="1:257" ht="15">
      <c r="A53" s="11"/>
      <c r="B53" s="23" t="s">
        <v>45</v>
      </c>
      <c r="C53" s="79">
        <v>1</v>
      </c>
      <c r="D53" s="78" t="s">
        <v>130</v>
      </c>
      <c r="E53" s="7"/>
      <c r="F53" s="7"/>
      <c r="IU53" s="21"/>
      <c r="IV53" s="21"/>
      <c r="IW53" s="21"/>
    </row>
    <row r="54" spans="1:257" ht="15">
      <c r="A54" s="11"/>
      <c r="B54" s="23" t="s">
        <v>46</v>
      </c>
      <c r="C54" s="79">
        <v>1</v>
      </c>
      <c r="D54" s="78" t="s">
        <v>130</v>
      </c>
      <c r="E54" s="7"/>
      <c r="F54" s="7"/>
      <c r="IU54" s="21"/>
      <c r="IV54" s="21"/>
      <c r="IW54" s="21"/>
    </row>
    <row r="55" spans="1:257" ht="15">
      <c r="A55" s="8"/>
      <c r="B55" s="24" t="s">
        <v>47</v>
      </c>
      <c r="C55" s="17"/>
      <c r="D55" s="17"/>
      <c r="E55" s="10"/>
      <c r="F55" s="10"/>
      <c r="IU55" s="21"/>
      <c r="IV55" s="21"/>
      <c r="IW55" s="21"/>
    </row>
    <row r="56" spans="1:257" ht="15">
      <c r="A56" s="11"/>
      <c r="B56" s="23" t="s">
        <v>48</v>
      </c>
      <c r="C56" s="78">
        <v>12</v>
      </c>
      <c r="D56" s="82" t="s">
        <v>132</v>
      </c>
      <c r="E56" s="7"/>
      <c r="F56" s="7"/>
      <c r="IU56" s="21"/>
      <c r="IV56" s="21"/>
      <c r="IW56" s="21"/>
    </row>
    <row r="57" spans="1:257" ht="15">
      <c r="A57" s="11"/>
      <c r="B57" s="23" t="s">
        <v>49</v>
      </c>
      <c r="C57" s="78">
        <v>8</v>
      </c>
      <c r="D57" s="82" t="s">
        <v>132</v>
      </c>
      <c r="E57" s="7"/>
      <c r="F57" s="7"/>
      <c r="IU57" s="21"/>
      <c r="IV57" s="21"/>
      <c r="IW57" s="21"/>
    </row>
    <row r="58" spans="1:257" ht="15">
      <c r="A58" s="11"/>
      <c r="B58" s="23" t="s">
        <v>50</v>
      </c>
      <c r="C58" s="79">
        <v>2</v>
      </c>
      <c r="D58" s="82" t="s">
        <v>132</v>
      </c>
      <c r="E58" s="7"/>
      <c r="F58" s="7"/>
      <c r="IU58" s="21"/>
      <c r="IV58" s="21"/>
      <c r="IW58" s="21"/>
    </row>
    <row r="59" spans="1:257" ht="15">
      <c r="A59" s="11"/>
      <c r="B59" s="23" t="s">
        <v>51</v>
      </c>
      <c r="C59" s="78">
        <v>4</v>
      </c>
      <c r="D59" s="78" t="s">
        <v>131</v>
      </c>
      <c r="E59" s="7">
        <v>41816</v>
      </c>
      <c r="F59" s="7">
        <v>41817</v>
      </c>
      <c r="IU59" s="21"/>
      <c r="IV59" s="21"/>
      <c r="IW59" s="21"/>
    </row>
    <row r="60" spans="1:257" ht="15">
      <c r="A60" s="11"/>
      <c r="B60" s="23" t="s">
        <v>52</v>
      </c>
      <c r="C60" s="79">
        <v>2</v>
      </c>
      <c r="D60" s="78" t="s">
        <v>131</v>
      </c>
      <c r="E60" s="7">
        <v>41816</v>
      </c>
      <c r="F60" s="7">
        <v>41817</v>
      </c>
      <c r="IU60" s="21"/>
      <c r="IV60" s="21"/>
      <c r="IW60" s="21"/>
    </row>
    <row r="61" spans="1:257" ht="15">
      <c r="A61" s="11"/>
      <c r="B61" s="23" t="s">
        <v>53</v>
      </c>
      <c r="C61" s="79">
        <v>6</v>
      </c>
      <c r="D61" s="79" t="s">
        <v>132</v>
      </c>
      <c r="E61" s="7"/>
      <c r="F61" s="7"/>
      <c r="IU61" s="21"/>
      <c r="IV61" s="21"/>
      <c r="IW61" s="21"/>
    </row>
    <row r="62" spans="1:257" ht="15">
      <c r="A62" s="11"/>
      <c r="B62" s="23" t="s">
        <v>54</v>
      </c>
      <c r="C62" s="79">
        <v>4</v>
      </c>
      <c r="D62" s="79" t="s">
        <v>131</v>
      </c>
      <c r="E62" s="7">
        <v>41816</v>
      </c>
      <c r="F62" s="7">
        <v>41817</v>
      </c>
      <c r="IU62" s="21"/>
      <c r="IV62" s="21"/>
      <c r="IW62" s="21"/>
    </row>
    <row r="63" spans="1:257" ht="15">
      <c r="A63" s="11"/>
      <c r="B63" s="23" t="s">
        <v>55</v>
      </c>
      <c r="C63" s="79">
        <v>8</v>
      </c>
      <c r="D63" s="79" t="s">
        <v>131</v>
      </c>
      <c r="E63" s="7">
        <v>41816</v>
      </c>
      <c r="F63" s="7">
        <v>41817</v>
      </c>
      <c r="IU63" s="21"/>
      <c r="IV63" s="21"/>
      <c r="IW63" s="21"/>
    </row>
    <row r="64" spans="1:257" ht="15">
      <c r="A64" s="11"/>
      <c r="B64" s="23" t="s">
        <v>56</v>
      </c>
      <c r="C64" s="79">
        <v>12</v>
      </c>
      <c r="D64" s="79" t="s">
        <v>130</v>
      </c>
      <c r="E64" s="7"/>
      <c r="F64" s="7"/>
      <c r="IU64" s="21"/>
      <c r="IV64" s="21"/>
      <c r="IW64" s="21"/>
    </row>
    <row r="65" spans="1:257" ht="15">
      <c r="A65" s="4" t="s">
        <v>66</v>
      </c>
      <c r="B65" s="22"/>
      <c r="C65" s="74">
        <f>SUM(C66:C68)</f>
        <v>44</v>
      </c>
      <c r="D65" s="74"/>
      <c r="E65" s="5"/>
      <c r="F65" s="5"/>
      <c r="IU65" s="21"/>
      <c r="IV65" s="21"/>
      <c r="IW65" s="21"/>
    </row>
    <row r="66" spans="1:257" ht="15">
      <c r="A66" s="6"/>
      <c r="B66" s="23" t="s">
        <v>67</v>
      </c>
      <c r="C66" s="19">
        <v>4</v>
      </c>
      <c r="D66" s="19"/>
      <c r="E66" s="7"/>
      <c r="F66" s="7"/>
      <c r="IU66" s="21"/>
      <c r="IV66" s="21"/>
      <c r="IW66" s="21"/>
    </row>
    <row r="67" spans="1:257" ht="15">
      <c r="A67" s="6"/>
      <c r="B67" s="23" t="s">
        <v>68</v>
      </c>
      <c r="C67" s="19">
        <v>32</v>
      </c>
      <c r="D67" s="19"/>
      <c r="E67" s="7"/>
      <c r="F67" s="7"/>
      <c r="IU67" s="21"/>
      <c r="IV67" s="21"/>
      <c r="IW67" s="21"/>
    </row>
    <row r="68" spans="1:257" ht="15">
      <c r="A68" s="6"/>
      <c r="B68" s="23" t="s">
        <v>69</v>
      </c>
      <c r="C68" s="19">
        <v>8</v>
      </c>
      <c r="D68" s="19"/>
      <c r="E68" s="7"/>
      <c r="F68" s="7"/>
      <c r="IU68" s="21"/>
      <c r="IV68" s="21"/>
      <c r="IW68" s="21"/>
    </row>
    <row r="69" spans="1:257" ht="15">
      <c r="A69" s="4" t="s">
        <v>70</v>
      </c>
      <c r="B69" s="22"/>
      <c r="C69" s="74">
        <v>19</v>
      </c>
      <c r="D69" s="74"/>
      <c r="E69" s="5"/>
      <c r="F69" s="5"/>
      <c r="IU69" s="21"/>
      <c r="IV69" s="21"/>
      <c r="IW69" s="21"/>
    </row>
    <row r="70" spans="1:257" ht="15">
      <c r="A70" s="3" t="s">
        <v>71</v>
      </c>
      <c r="B70" s="12"/>
      <c r="C70" s="12">
        <f>SUM(C12,C15,C65,C69)</f>
        <v>216</v>
      </c>
      <c r="D70" s="12"/>
      <c r="E70" s="12"/>
      <c r="F70" s="12"/>
      <c r="IU70" s="21"/>
      <c r="IV70" s="21"/>
      <c r="IW70" s="2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Functions</vt:lpstr>
      <vt:lpstr>Estimate</vt:lpstr>
      <vt:lpstr>Assumption</vt:lpstr>
      <vt:lpstr>Sheet1</vt:lpstr>
      <vt:lpstr>Sheet2</vt:lpstr>
      <vt:lpstr>Estimate!Print_Area</vt:lpstr>
      <vt:lpstr>Functions!Print_Area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 Son</dc:creator>
  <cp:lastModifiedBy>ADMIN</cp:lastModifiedBy>
  <cp:lastPrinted>2014-06-05T03:37:48Z</cp:lastPrinted>
  <dcterms:created xsi:type="dcterms:W3CDTF">2014-04-15T08:55:36Z</dcterms:created>
  <dcterms:modified xsi:type="dcterms:W3CDTF">2014-06-20T09:13:47Z</dcterms:modified>
</cp:coreProperties>
</file>